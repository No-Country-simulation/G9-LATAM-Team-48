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T_TABLE" sheetId="1" state="visible" r:id="rId3"/>
    <sheet name="EDT" sheetId="2" state="visible" r:id="rId4"/>
    <sheet name="GANTT" sheetId="3" state="visible" r:id="rId5"/>
    <sheet name="PERT-CPM" sheetId="4" state="visible" r:id="rId6"/>
  </sheets>
  <definedNames>
    <definedName function="false" hidden="false" localSheetId="1" name="_xlnm.Print_Titles" vbProcedure="false">EDT!$4:$4</definedName>
    <definedName function="false" hidden="false" localSheetId="0" name="_xlnm.Print_Titles" vbProcedure="false">EDT_TABLE!$4:$4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<sst xmlns="http://schemas.openxmlformats.org/spreadsheetml/2006/main" count="1188" uniqueCount="324">
  <si>
    <t xml:space="preserve">EnergIA — EDT / WBS (Línea Base)</t>
  </si>
  <si>
    <t xml:space="preserve">Hackathon ONE G9 – LATAM · Team 48 · Código ENERGIA-2026-HK01 · Kickoff 2026-07-13</t>
  </si>
  <si>
    <t xml:space="preserve">FASE</t>
  </si>
  <si>
    <t xml:space="preserve">ID</t>
  </si>
  <si>
    <t xml:space="preserve">TAREA</t>
  </si>
  <si>
    <t xml:space="preserve">DESCRIPCIÓN</t>
  </si>
  <si>
    <t xml:space="preserve">ENTREGABLE</t>
  </si>
  <si>
    <t xml:space="preserve">RECURSOS / HERRAMIENTAS</t>
  </si>
  <si>
    <t xml:space="preserve">DURACIÓN ESTIMADA</t>
  </si>
  <si>
    <t xml:space="preserve">RESPONSABLE</t>
  </si>
  <si>
    <t xml:space="preserve">INFRAESTRUCTURA</t>
  </si>
  <si>
    <t xml:space="preserve">EXITOSA</t>
  </si>
  <si>
    <t xml:space="preserve">ISSUES</t>
  </si>
  <si>
    <t xml:space="preserve">FASE 1 — Iniciación</t>
  </si>
  <si>
    <t xml:space="preserve">A</t>
  </si>
  <si>
    <t xml:space="preserve">Kickoff y conformación del equipo</t>
  </si>
  <si>
    <t xml:space="preserve">Reunión de arranque del Team 48: presentación del alcance del hackathon, roles y forma de trabajo remota bajo liderazgo OSCAR.</t>
  </si>
  <si>
    <t xml:space="preserve">Acta de kickoff</t>
  </si>
  <si>
    <t xml:space="preserve">Reunión virtual</t>
  </si>
  <si>
    <t xml:space="preserve">1 día(s)</t>
  </si>
  <si>
    <t xml:space="preserve">Project Manager</t>
  </si>
  <si>
    <t xml:space="preserve">LOCAL</t>
  </si>
  <si>
    <t xml:space="preserve">B</t>
  </si>
  <si>
    <t xml:space="preserve">Business Case</t>
  </si>
  <si>
    <t xml:space="preserve">Justificación del proyecto: problema de eficiencia energética, análisis de opciones y recomendación de construir EnergIA (DOC-002).</t>
  </si>
  <si>
    <t xml:space="preserve">DOC-002 Business Case</t>
  </si>
  <si>
    <t xml:space="preserve">Markdown / PKB</t>
  </si>
  <si>
    <t xml:space="preserve">C</t>
  </si>
  <si>
    <t xml:space="preserve">Project Charter</t>
  </si>
  <si>
    <t xml:space="preserve">Autorización formal del proyecto, objetivos medibles, hitos de alto nivel y autoridad del Project Manager (DOC-003).</t>
  </si>
  <si>
    <t xml:space="preserve">DOC-003 Project Charter</t>
  </si>
  <si>
    <t xml:space="preserve">D</t>
  </si>
  <si>
    <t xml:space="preserve">Discovery técnico (stack, dataset, OCI)</t>
  </si>
  <si>
    <t xml:space="preserve">Exploración técnica de viabilidad: API/servicios OCI disponibles, librerías Python/Java, estructura de datos de consumo energético.</t>
  </si>
  <si>
    <t xml:space="preserve">Notas técnicas de viabilidad</t>
  </si>
  <si>
    <t xml:space="preserve">Docs Microsoft/Oracle, Kaggle</t>
  </si>
  <si>
    <t xml:space="preserve">2 día(s)</t>
  </si>
  <si>
    <t xml:space="preserve">Backend Developer / Data Analyst</t>
  </si>
  <si>
    <t xml:space="preserve">E</t>
  </si>
  <si>
    <t xml:space="preserve">Setup de repos y entorno (monorepo, ramas)</t>
  </si>
  <si>
    <t xml:space="preserve">Creación del monorepo en GitHub (frontend, backend, ml-service, datascience, docs, qa) y convención de ramas main/develop/feature.</t>
  </si>
  <si>
    <t xml:space="preserve">Repositorio GitHub inicial</t>
  </si>
  <si>
    <t xml:space="preserve">GitHub, Git Flow</t>
  </si>
  <si>
    <t xml:space="preserve">Full Stack Developer</t>
  </si>
  <si>
    <t xml:space="preserve">LOCAL, CLOUD</t>
  </si>
  <si>
    <t xml:space="preserve">FASE 2 — Planeación</t>
  </si>
  <si>
    <t xml:space="preserve">F</t>
  </si>
  <si>
    <t xml:space="preserve">Scope Statement</t>
  </si>
  <si>
    <t xml:space="preserve">Definición del alcance del producto, entregables maestros y exclusiones explícitas (DOC-004).</t>
  </si>
  <si>
    <t xml:space="preserve">DOC-004 Scope Statement</t>
  </si>
  <si>
    <t xml:space="preserve">Markdown</t>
  </si>
  <si>
    <t xml:space="preserve">G</t>
  </si>
  <si>
    <t xml:space="preserve">WBS y WBS Dictionary</t>
  </si>
  <si>
    <t xml:space="preserve">Descomposición jerárquica del alcance en paquetes de trabajo y su diccionario de detalle (DOC-005 / DOC-006).</t>
  </si>
  <si>
    <t xml:space="preserve">DOC-005 / DOC-006</t>
  </si>
  <si>
    <t xml:space="preserve">H</t>
  </si>
  <si>
    <t xml:space="preserve">Schedule Baseline</t>
  </si>
  <si>
    <t xml:space="preserve">Línea base de cronograma por sprint semanal, con hitos de planeación, desarrollo, despliegue y cierre (DOC-007).</t>
  </si>
  <si>
    <t xml:space="preserve">DOC-007 Schedule Baseline</t>
  </si>
  <si>
    <t xml:space="preserve">I</t>
  </si>
  <si>
    <t xml:space="preserve">Cost Baseline</t>
  </si>
  <si>
    <t xml:space="preserve">Enfoque de costos del proyecto (esfuerzo en días-persona, sin presupuesto monetario) (DOC-008).</t>
  </si>
  <si>
    <t xml:space="preserve">DOC-008 Cost Baseline</t>
  </si>
  <si>
    <t xml:space="preserve">J</t>
  </si>
  <si>
    <t xml:space="preserve">Risk Register</t>
  </si>
  <si>
    <t xml:space="preserve">Identificación y estrategia de respuesta a riesgos técnicos, operativos y externos del proyecto (DOC-009).</t>
  </si>
  <si>
    <t xml:space="preserve">DOC-009 Risk Register</t>
  </si>
  <si>
    <t xml:space="preserve">K</t>
  </si>
  <si>
    <t xml:space="preserve">Communication Management Plan</t>
  </si>
  <si>
    <t xml:space="preserve">Matriz de comunicaciones: qué se comunica, a quién, con qué frecuencia y por qué canal (DOC-010).</t>
  </si>
  <si>
    <t xml:space="preserve">DOC-010 Comm. Plan</t>
  </si>
  <si>
    <t xml:space="preserve">L</t>
  </si>
  <si>
    <t xml:space="preserve">Stakeholder Register</t>
  </si>
  <si>
    <t xml:space="preserve">Identificación de interesados, poder/interés y estrategia de involucramiento (DOC-011).</t>
  </si>
  <si>
    <t xml:space="preserve">DOC-011 Stakeholder Register</t>
  </si>
  <si>
    <t xml:space="preserve">M</t>
  </si>
  <si>
    <t xml:space="preserve">Quality Management Plan</t>
  </si>
  <si>
    <t xml:space="preserve">Estándares, métricas y actividades de aseguramiento de calidad del proyecto (DOC-012).</t>
  </si>
  <si>
    <t xml:space="preserve">DOC-012 Quality Plan</t>
  </si>
  <si>
    <t xml:space="preserve">N</t>
  </si>
  <si>
    <t xml:space="preserve">Project Management Plan (PKB consolidado)</t>
  </si>
  <si>
    <t xml:space="preserve">Documento integrador que consolida los planes subsidiarios y actualiza el catálogo de artefactos del PKB.</t>
  </si>
  <si>
    <t xml:space="preserve">DOC-001 / DOC-013</t>
  </si>
  <si>
    <t xml:space="preserve">O</t>
  </si>
  <si>
    <t xml:space="preserve">EDA y catálogo del dataset</t>
  </si>
  <si>
    <t xml:space="preserve">Análisis exploratorio de datos, limpieza y catalogación del dataset de consumo energético (crudo y procesado).</t>
  </si>
  <si>
    <t xml:space="preserve">Notebook EDA</t>
  </si>
  <si>
    <t xml:space="preserve">Python, Pandas, Jupyter</t>
  </si>
  <si>
    <t xml:space="preserve">3 día(s)</t>
  </si>
  <si>
    <t xml:space="preserve">Data Analyst</t>
  </si>
  <si>
    <t xml:space="preserve">P</t>
  </si>
  <si>
    <t xml:space="preserve">Setup backend base (Spring Boot + seguridad)</t>
  </si>
  <si>
    <t xml:space="preserve">Configuración base de Spring Boot: perfiles dev/prod, seguridad, estructura de paquetes por capas.</t>
  </si>
  <si>
    <t xml:space="preserve">Esqueleto backend</t>
  </si>
  <si>
    <t xml:space="preserve">Java 21, Spring Boot, Maven</t>
  </si>
  <si>
    <t xml:space="preserve">Backend Developer</t>
  </si>
  <si>
    <t xml:space="preserve">FASE 3 — Ejecución (Desarrollo Núcleo)</t>
  </si>
  <si>
    <t xml:space="preserve">Q</t>
  </si>
  <si>
    <t xml:space="preserve">Feature engineering y entrenamiento del modelo</t>
  </si>
  <si>
    <t xml:space="preserve">Ingeniería de variables y entrenamiento del clasificador de perfil energético; exportación del artefacto del modelo.</t>
  </si>
  <si>
    <t xml:space="preserve">model.joblib</t>
  </si>
  <si>
    <t xml:space="preserve">Scikit-Learn, Pandas</t>
  </si>
  <si>
    <t xml:space="preserve">4 día(s)</t>
  </si>
  <si>
    <t xml:space="preserve">R</t>
  </si>
  <si>
    <t xml:space="preserve">Autenticación backend (JWT + email + Google)</t>
  </si>
  <si>
    <t xml:space="preserve">Autenticación stateless con JWT, verificación de email vía Gmail SMTP y Google Sign-In (GIS).</t>
  </si>
  <si>
    <t xml:space="preserve">Módulo auth</t>
  </si>
  <si>
    <t xml:space="preserve">Spring Security, JJWT, Gmail SMTP</t>
  </si>
  <si>
    <t xml:space="preserve">S</t>
  </si>
  <si>
    <t xml:space="preserve">Módulo Análisis IA backend (+ fallback heurístico)</t>
  </si>
  <si>
    <t xml:space="preserve">Fachada de Análisis IA: valida el payload de 12 variables, llama al microservicio ML y aplica fallback heurístico si no responde.</t>
  </si>
  <si>
    <t xml:space="preserve">Módulo analisis</t>
  </si>
  <si>
    <t xml:space="preserve">Spring Web, RestClient</t>
  </si>
  <si>
    <t xml:space="preserve">T</t>
  </si>
  <si>
    <t xml:space="preserve">Microservicio ML (FastAPI)</t>
  </si>
  <si>
    <t xml:space="preserve">Microservicio FastAPI que sirve el modelo entrenado; adaptadores de features legacy y v3.</t>
  </si>
  <si>
    <t xml:space="preserve">ml-service (FastAPI)</t>
  </si>
  <si>
    <t xml:space="preserve">Python, FastAPI, Uvicorn</t>
  </si>
  <si>
    <t xml:space="preserve">U</t>
  </si>
  <si>
    <t xml:space="preserve">Módulo Recomendaciones</t>
  </si>
  <si>
    <t xml:space="preserve">Motor de recomendaciones (catálogo de tipKeys) según el perfil energético y variables del formulario.</t>
  </si>
  <si>
    <t xml:space="preserve">Módulo recommendation</t>
  </si>
  <si>
    <t xml:space="preserve">Spring, catálogo tipKeys</t>
  </si>
  <si>
    <t xml:space="preserve">V</t>
  </si>
  <si>
    <t xml:space="preserve">Módulo Consumos y Costos</t>
  </si>
  <si>
    <t xml:space="preserve">Cálculo y consulta de consumos e historial, con series demo y datos de dataset importado.</t>
  </si>
  <si>
    <t xml:space="preserve">Módulo consumo/cost</t>
  </si>
  <si>
    <t xml:space="preserve">Spring, MySQL</t>
  </si>
  <si>
    <t xml:space="preserve">W</t>
  </si>
  <si>
    <t xml:space="preserve">Módulo Contacto y Admin</t>
  </si>
  <si>
    <t xml:space="preserve">Formulario de contacto del equipo y endpoints de administración (CRUD de usuarios, listado de análisis).</t>
  </si>
  <si>
    <t xml:space="preserve">Módulo contact/admin</t>
  </si>
  <si>
    <t xml:space="preserve">X</t>
  </si>
  <si>
    <t xml:space="preserve">Persistencia MySQL + Flyway</t>
  </si>
  <si>
    <t xml:space="preserve">Modelado de la base de datos MySQL y migraciones versionadas con Flyway (V1 a V13).</t>
  </si>
  <si>
    <t xml:space="preserve">Migraciones Flyway</t>
  </si>
  <si>
    <t xml:space="preserve">MySQL 8, Flyway, JPA</t>
  </si>
  <si>
    <t xml:space="preserve">Y</t>
  </si>
  <si>
    <t xml:space="preserve">Frontend: app shell, temas y navegación</t>
  </si>
  <si>
    <t xml:space="preserve">Estructura base de la aplicación React: layout, temas claro/oscuro y navegación por estado.</t>
  </si>
  <si>
    <t xml:space="preserve">App shell React</t>
  </si>
  <si>
    <t xml:space="preserve">React 19, Vite 7, Bootstrap 5</t>
  </si>
  <si>
    <t xml:space="preserve">Z</t>
  </si>
  <si>
    <t xml:space="preserve">Frontend: autenticación (UI)</t>
  </si>
  <si>
    <t xml:space="preserve">Modal de autenticación unificado: email/contraseña, recuperación y botón de Google Sign-In.</t>
  </si>
  <si>
    <t xml:space="preserve">UI Auth</t>
  </si>
  <si>
    <t xml:space="preserve">React, Google Identity Services</t>
  </si>
  <si>
    <t xml:space="preserve">AA</t>
  </si>
  <si>
    <t xml:space="preserve">Frontend: Dashboard y Consumos</t>
  </si>
  <si>
    <t xml:space="preserve">Dashboard de KPIs de consumo/costo y vista de Consumos con gráficos Recharts.</t>
  </si>
  <si>
    <t xml:space="preserve">UI Dashboard</t>
  </si>
  <si>
    <t xml:space="preserve">React, Recharts</t>
  </si>
  <si>
    <t xml:space="preserve">AB</t>
  </si>
  <si>
    <t xml:space="preserve">Frontend: Análisis IA (formulario + resultados)</t>
  </si>
  <si>
    <t xml:space="preserve">Formulario de 12 campos por tipo de inmueble y panel de resultados (gráfico + tips + nivel/ahorro/confianza).</t>
  </si>
  <si>
    <t xml:space="preserve">UI Analisis IA</t>
  </si>
  <si>
    <t xml:space="preserve">React, Axios, Recharts</t>
  </si>
  <si>
    <t xml:space="preserve">AC</t>
  </si>
  <si>
    <t xml:space="preserve">Frontend: Recomendaciones, Historial y Contáctanos</t>
  </si>
  <si>
    <t xml:space="preserve">Vistas de Recomendaciones, Historia de análisis guardados y formulario Contáctanos.</t>
  </si>
  <si>
    <t xml:space="preserve">UI Recom/Historial/Contacto</t>
  </si>
  <si>
    <t xml:space="preserve">React</t>
  </si>
  <si>
    <t xml:space="preserve">AD</t>
  </si>
  <si>
    <t xml:space="preserve">Frontend: Panel Admin</t>
  </si>
  <si>
    <t xml:space="preserve">Panel administrativo: CRUD de usuarios y vista global de consultas de Análisis IA (rol ADMIN).</t>
  </si>
  <si>
    <t xml:space="preserve">UI Admin</t>
  </si>
  <si>
    <t xml:space="preserve">React, Bootstrap</t>
  </si>
  <si>
    <t xml:space="preserve">AE</t>
  </si>
  <si>
    <t xml:space="preserve">Internacionalización (21 idiomas) y Accesibilidad</t>
  </si>
  <si>
    <t xml:space="preserve">Traducción de la interfaz a 21 idiomas y prácticas de accesibilidad (landmarks, ARIA, lector de pantalla).</t>
  </si>
  <si>
    <t xml:space="preserve">i18n + a11y</t>
  </si>
  <si>
    <t xml:space="preserve">React i18n, ARIA, SrAnnouncer</t>
  </si>
  <si>
    <t xml:space="preserve">FASE 4 — Infraestructura y Despliegue</t>
  </si>
  <si>
    <t xml:space="preserve">AF</t>
  </si>
  <si>
    <t xml:space="preserve">Contenerización (Docker/Podman)</t>
  </si>
  <si>
    <t xml:space="preserve">Construcción de imágenes Docker para backend y frontend, ejecución vía Podman.</t>
  </si>
  <si>
    <t xml:space="preserve">Imágenes Docker</t>
  </si>
  <si>
    <t xml:space="preserve">Docker, Podman</t>
  </si>
  <si>
    <t xml:space="preserve">AG</t>
  </si>
  <si>
    <t xml:space="preserve">Despliegue Frontend (Vercel)</t>
  </si>
  <si>
    <t xml:space="preserve">Publicación del frontend en Vercel (Root Directory frontend, rama main = producción).</t>
  </si>
  <si>
    <t xml:space="preserve">Vercel producción</t>
  </si>
  <si>
    <t xml:space="preserve">Vercel</t>
  </si>
  <si>
    <t xml:space="preserve">CLOUD</t>
  </si>
  <si>
    <t xml:space="preserve">AH</t>
  </si>
  <si>
    <t xml:space="preserve">Despliegue Backend + MySQL (VM OCI)</t>
  </si>
  <si>
    <t xml:space="preserve">Despliegue del backend y MySQL en una VM de Oracle Cloud Infrastructure vía Podman.</t>
  </si>
  <si>
    <t xml:space="preserve">VM OCI producción</t>
  </si>
  <si>
    <t xml:space="preserve">Oracle Cloud Infrastructure, Podman</t>
  </si>
  <si>
    <t xml:space="preserve">CLOUD (OCI)</t>
  </si>
  <si>
    <t xml:space="preserve">AI</t>
  </si>
  <si>
    <t xml:space="preserve">Despliegue Microservicio ML (Render)</t>
  </si>
  <si>
    <t xml:space="preserve">Despliegue del microservicio ML en Render (plan gratuito, Root Directory ml-service).</t>
  </si>
  <si>
    <t xml:space="preserve">Render producción</t>
  </si>
  <si>
    <t xml:space="preserve">Render</t>
  </si>
  <si>
    <t xml:space="preserve">AJ</t>
  </si>
  <si>
    <t xml:space="preserve">Integración end-to-end (front-back-ML-OCI)</t>
  </si>
  <si>
    <t xml:space="preserve">Verificación de extremo a extremo: frontend (Vercel) → proxy → backend (OCI) → ml-service (Render).</t>
  </si>
  <si>
    <t xml:space="preserve">Demo integrada</t>
  </si>
  <si>
    <t xml:space="preserve">Vercel + OCI + Render</t>
  </si>
  <si>
    <t xml:space="preserve">Equipo EnergIA</t>
  </si>
  <si>
    <t xml:space="preserve">FASE 5 — Monitoreo, Control y Cierre</t>
  </si>
  <si>
    <t xml:space="preserve">AK</t>
  </si>
  <si>
    <t xml:space="preserve">Pruebas automatizadas (JUnit + build)</t>
  </si>
  <si>
    <t xml:space="preserve">Ejecución de la suite JUnit del backend y build de producción del frontend.</t>
  </si>
  <si>
    <t xml:space="preserve">Suite JUnit</t>
  </si>
  <si>
    <t xml:space="preserve">Maven, JUnit</t>
  </si>
  <si>
    <t xml:space="preserve">AL</t>
  </si>
  <si>
    <t xml:space="preserve">Checklist manual QA P0</t>
  </si>
  <si>
    <t xml:space="preserve">Checklist manual de casos bloqueantes (P0): deploy, auth, Análisis IA, recomendaciones, admin.</t>
  </si>
  <si>
    <t xml:space="preserve">qa/run-p0.ps1</t>
  </si>
  <si>
    <t xml:space="preserve">PowerShell, Postman</t>
  </si>
  <si>
    <t xml:space="preserve">AM</t>
  </si>
  <si>
    <t xml:space="preserve">Checklist manual QA P1</t>
  </si>
  <si>
    <t xml:space="preserve">Checklist manual de casos importantes (P1): consumos, historia, forgot/reset password, i18n, roles.</t>
  </si>
  <si>
    <t xml:space="preserve">qa/run-p1.ps1</t>
  </si>
  <si>
    <t xml:space="preserve">PowerShell</t>
  </si>
  <si>
    <t xml:space="preserve">AN</t>
  </si>
  <si>
    <t xml:space="preserve">Smoke test de producción</t>
  </si>
  <si>
    <t xml:space="preserve">Verificación de endpoints críticos en producción con `qa/smoke-api.ps1`.</t>
  </si>
  <si>
    <t xml:space="preserve">qa/smoke-api.ps1</t>
  </si>
  <si>
    <t xml:space="preserve">AO</t>
  </si>
  <si>
    <t xml:space="preserve">Corrección de hallazgos QA</t>
  </si>
  <si>
    <t xml:space="preserve">Corrección de hallazgos detectados durante los checklists P0/P1 y el smoke test.</t>
  </si>
  <si>
    <t xml:space="preserve">Hotfixes</t>
  </si>
  <si>
    <t xml:space="preserve">Git, GitHub</t>
  </si>
  <si>
    <t xml:space="preserve">AP</t>
  </si>
  <si>
    <t xml:space="preserve">Preparación de demo / pitch</t>
  </si>
  <si>
    <t xml:space="preserve">Preparación del guion y material visual para la presentación ante el jurado del Hackathon.</t>
  </si>
  <si>
    <t xml:space="preserve">Guion de demo</t>
  </si>
  <si>
    <t xml:space="preserve">PowerPoint / Markdown</t>
  </si>
  <si>
    <t xml:space="preserve">AQ</t>
  </si>
  <si>
    <t xml:space="preserve">Presentación ante jurado</t>
  </si>
  <si>
    <t xml:space="preserve">Presentación en vivo de la demo desplegada, dentro de la ventana oficial fijada por No Country.</t>
  </si>
  <si>
    <t xml:space="preserve">Demo en vivo</t>
  </si>
  <si>
    <t xml:space="preserve">Vercel prod</t>
  </si>
  <si>
    <t xml:space="preserve">AR</t>
  </si>
  <si>
    <t xml:space="preserve">Lessons Learned y cierre documental</t>
  </si>
  <si>
    <t xml:space="preserve">Registro de lecciones aprendidas y cierre formal de la documentación del proyecto (DOC-014).</t>
  </si>
  <si>
    <t xml:space="preserve">DOC-014 Lessons Learned</t>
  </si>
  <si>
    <t xml:space="preserve">EnergIA — EDT (Ejecución Real)</t>
  </si>
  <si>
    <t xml:space="preserve">Curva de aprendizaje del stack OCI para un equipo que recién iniciaba (RSK-001).</t>
  </si>
  <si>
    <t xml:space="preserve">Se evaluaron dos esquemas de features (legacy vs. bundle v3); se priorizó v3 con adaptador legacy de respaldo.</t>
  </si>
  <si>
    <t xml:space="preserve">Bloqueadores de anuncios (uBlock, Privacy Badger) impedían el popup de Google Sign-In; se agregó aviso visible (RSK-005, validado en QA P0-08).</t>
  </si>
  <si>
    <t xml:space="preserve">Bug de red con docker compose en el entorno NAS/QNAP alterno; se resolvió con docker run manual (ver NAS-DOCKER.md).</t>
  </si>
  <si>
    <t xml:space="preserve">Backend y MySQL concentrados en una única VM de OCI; aceptado como riesgo monitoreado (RSK-003).</t>
  </si>
  <si>
    <t xml:space="preserve">Cold start del plan gratuito de Render (~60s); mitigado con PREDICTION_API_TIMEOUT=60000 y fallback heurístico (RSK-002).</t>
  </si>
  <si>
    <t xml:space="preserve">Verificación de email y Google Sign-In requirieron validación manual adicional (P0-05/P0-08).</t>
  </si>
  <si>
    <t xml:space="preserve">EnergIA — GANTT (Cronograma)</t>
  </si>
  <si>
    <t xml:space="preserve">PROYECTO</t>
  </si>
  <si>
    <t xml:space="preserve">EnergIA – Plataforma Inteligente para el Análisis y Optimización del Consumo Energético</t>
  </si>
  <si>
    <t xml:space="preserve">PROJECT MANAGER</t>
  </si>
  <si>
    <t xml:space="preserve">Neil Jácome (Project Manager) — Equipo EnergIA: Jorge Gustavo Martinez, Carlos Miyen Brandolino, Germán French, Ricardo Chirinos, Jharle Compres</t>
  </si>
  <si>
    <t xml:space="preserve">PROGRAMA / EQUIPO</t>
  </si>
  <si>
    <t xml:space="preserve">Oracle Next Education (ONE) – Generación 9 · Hackathon operado por No Country · Team 48</t>
  </si>
  <si>
    <t xml:space="preserve">FECHA DE INICIO (KICKOFF)</t>
  </si>
  <si>
    <t xml:space="preserve">2026-07-13</t>
  </si>
  <si>
    <t xml:space="preserve">INICIO</t>
  </si>
  <si>
    <t xml:space="preserve">FIN</t>
  </si>
  <si>
    <t xml:space="preserve">DÍAS</t>
  </si>
  <si>
    <t xml:space="preserve">% COMPLETADO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</si>
  <si>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</si>
  <si>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</si>
  <si>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</si>
  <si>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</si>
  <si>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</si>
  <si>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</si>
  <si>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</si>
  <si>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</si>
  <si>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</si>
  <si>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</si>
  <si>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</si>
  <si>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</si>
  <si>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</si>
  <si>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2026-07-23</t>
  </si>
  <si>
    <t xml:space="preserve">2026-07-21</t>
  </si>
  <si>
    <t xml:space="preserve">2026-07-26</t>
  </si>
  <si>
    <t xml:space="preserve">2026-07-28</t>
  </si>
  <si>
    <t xml:space="preserve">2026-07-29</t>
  </si>
  <si>
    <t xml:space="preserve">2026-07-30</t>
  </si>
  <si>
    <t xml:space="preserve">2026-08-01</t>
  </si>
  <si>
    <t xml:space="preserve">2026-08-02</t>
  </si>
  <si>
    <t xml:space="preserve">2026-08-03</t>
  </si>
  <si>
    <t xml:space="preserve">2026-08-05</t>
  </si>
  <si>
    <t xml:space="preserve">2026-08-06</t>
  </si>
  <si>
    <t xml:space="preserve">2026-08-08</t>
  </si>
  <si>
    <t xml:space="preserve">2026-08-09</t>
  </si>
  <si>
    <t xml:space="preserve">2026-08-11</t>
  </si>
  <si>
    <t xml:space="preserve">2026-08-13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</si>
  <si>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</si>
  <si>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</si>
  <si>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</si>
  <si>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</si>
  <si>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LEYENDA:</t>
  </si>
  <si>
    <t xml:space="preserve">  Ruta crítica (holgura = 0)</t>
  </si>
  <si>
    <t xml:space="preserve">  Actividad con holgura</t>
  </si>
  <si>
    <t xml:space="preserve">Nota: el equipo completa su trabajo técnico interno el 2026-08-15 (fin de la ruta crítica), dejando margen de contingencia hasta el 2026-08-16. La presentación ante el jurado (AQ) y el cierre documental (AR) se agendan en la ventana oficial de entrega del Hackathon, fijada por No Country: 2026-08-17 a 2026-08-20.</t>
  </si>
  <si>
    <t xml:space="preserve">EnergIA — PERT / CPM (Método de la Ruta Crítica)</t>
  </si>
  <si>
    <t xml:space="preserve">Duración total del proyecto (ruta crítica interna): 33 días (2026-07-13 → 2026-08-15). AQ y AR se agendan en la ventana oficial del Hackathon (2026-08-17 a 2026-08-20), fijada por No Country.</t>
  </si>
  <si>
    <t xml:space="preserve">ACTIVIDAD</t>
  </si>
  <si>
    <t xml:space="preserve">PRECEDENCIAS</t>
  </si>
  <si>
    <t xml:space="preserve">DURACIÓN (DÍAS)</t>
  </si>
  <si>
    <t xml:space="preserve">ES</t>
  </si>
  <si>
    <t xml:space="preserve">EF</t>
  </si>
  <si>
    <t xml:space="preserve">LS</t>
  </si>
  <si>
    <t xml:space="preserve">LF</t>
  </si>
  <si>
    <t xml:space="preserve">HOLGURA (DÍAS)</t>
  </si>
  <si>
    <t xml:space="preserve">RUTA CRÍTICA</t>
  </si>
  <si>
    <t xml:space="preserve">N/A</t>
  </si>
  <si>
    <t xml:space="preserve">Sí</t>
  </si>
  <si>
    <t xml:space="preserve">No</t>
  </si>
  <si>
    <t xml:space="preserve">H, I, J, K, L, M</t>
  </si>
  <si>
    <t xml:space="preserve">D, E</t>
  </si>
  <si>
    <t xml:space="preserve">R, Q</t>
  </si>
  <si>
    <t xml:space="preserve">Y, R</t>
  </si>
  <si>
    <t xml:space="preserve">Z, V</t>
  </si>
  <si>
    <t xml:space="preserve">Z, S, T</t>
  </si>
  <si>
    <t xml:space="preserve">AA, U, W</t>
  </si>
  <si>
    <t xml:space="preserve">AB, AC</t>
  </si>
  <si>
    <t xml:space="preserve">X, T</t>
  </si>
  <si>
    <t xml:space="preserve">AG, AH, AI</t>
  </si>
  <si>
    <t xml:space="preserve">AL, AM, AN</t>
  </si>
  <si>
    <t xml:space="preserve">Total de actividades / promedio de holgura (días):</t>
  </si>
  <si>
    <t xml:space="preserve">Diagrama de red (CPM):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</si>
</sst>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\%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E3494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sz val="8"/>
      <color rgb="FFFFFFFF"/>
      <name val="Arial"/>
      <family val="0"/>
      <charset val="1"/>
    </font>
    <font>
      <i val="true"/>
      <sz val="8"/>
      <color rgb="FF52514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84F95"/>
        <bgColor rgb="FF0066CC"/>
      </patternFill>
    </fill>
    <fill>
      <patternFill patternType="solid">
        <fgColor rgb="FF2A78D6"/>
        <bgColor rgb="FF0066CC"/>
      </patternFill>
    </fill>
    <fill>
      <patternFill patternType="solid">
        <fgColor rgb="FF52514E"/>
        <bgColor rgb="FF666699"/>
      </patternFill>
    </fill>
    <fill>
      <patternFill patternType="solid">
        <fgColor rgb="FFD9EAD3"/>
        <bgColor rgb="FFF0EFEC"/>
      </patternFill>
    </fill>
    <fill>
      <patternFill patternType="solid">
        <fgColor rgb="FFFFFFFF"/>
        <bgColor rgb="FFFDEDED"/>
      </patternFill>
    </fill>
    <fill>
      <patternFill patternType="solid">
        <fgColor rgb="FFF0EFEC"/>
        <bgColor rgb="FFFDEDED"/>
      </patternFill>
    </fill>
    <fill>
      <patternFill patternType="solid">
        <fgColor rgb="FFE34948"/>
        <bgColor rgb="FF993366"/>
      </patternFill>
    </fill>
    <fill>
      <patternFill patternType="solid">
        <fgColor rgb="FFFDEDED"/>
        <bgColor rgb="FFF0E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DED"/>
      <rgbColor rgb="FFF0EF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3494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84F95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97200</xdr:rowOff>
    </xdr:from>
    <xdr:to>
      <xdr:col>20</xdr:col>
      <xdr:colOff>3600</xdr:colOff>
      <xdr:row>81</xdr:row>
      <xdr:rowOff>96840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0125000"/>
          <a:ext cx="1485864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6" min="5" style="0" width="2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4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.75" hidden="false" customHeight="true" outlineLevel="0" collapsed="false">
      <c r="A5" s="4" t="n">
        <v>1</v>
      </c>
      <c r="B5" s="5"/>
      <c r="C5" s="6" t="s">
        <v>13</v>
      </c>
      <c r="D5" s="6"/>
      <c r="E5" s="6"/>
      <c r="F5" s="6"/>
      <c r="G5" s="6"/>
      <c r="H5" s="6"/>
      <c r="I5" s="6"/>
      <c r="J5" s="6"/>
      <c r="K5" s="6"/>
    </row>
    <row r="6" customFormat="false" ht="22.35" hidden="false" customHeight="false" outlineLevel="0" collapsed="false">
      <c r="A6" s="7" t="n">
        <v>1</v>
      </c>
      <c r="B6" s="8" t="s">
        <v>14</v>
      </c>
      <c r="C6" s="9" t="s">
        <v>15</v>
      </c>
      <c r="D6" s="10" t="s">
        <v>16</v>
      </c>
      <c r="E6" s="11" t="s">
        <v>17</v>
      </c>
      <c r="F6" s="11" t="s">
        <v>18</v>
      </c>
      <c r="G6" s="11" t="s">
        <v>19</v>
      </c>
      <c r="H6" s="11" t="s">
        <v>20</v>
      </c>
      <c r="I6" s="11" t="s">
        <v>21</v>
      </c>
      <c r="J6" s="12" t="b">
        <f aca="false">TRUE()</f>
        <v>1</v>
      </c>
      <c r="K6" s="10"/>
    </row>
    <row r="7" customFormat="false" ht="22.35" hidden="false" customHeight="false" outlineLevel="0" collapsed="false">
      <c r="A7" s="7" t="n">
        <v>1</v>
      </c>
      <c r="B7" s="11" t="s">
        <v>22</v>
      </c>
      <c r="C7" s="10" t="s">
        <v>23</v>
      </c>
      <c r="D7" s="10" t="s">
        <v>24</v>
      </c>
      <c r="E7" s="11" t="s">
        <v>25</v>
      </c>
      <c r="F7" s="11" t="s">
        <v>26</v>
      </c>
      <c r="G7" s="11" t="s">
        <v>19</v>
      </c>
      <c r="H7" s="11" t="s">
        <v>20</v>
      </c>
      <c r="I7" s="11" t="s">
        <v>21</v>
      </c>
      <c r="J7" s="12" t="b">
        <f aca="false">TRUE()</f>
        <v>1</v>
      </c>
      <c r="K7" s="10"/>
    </row>
    <row r="8" customFormat="false" ht="22.35" hidden="false" customHeight="false" outlineLevel="0" collapsed="false">
      <c r="A8" s="7" t="n">
        <v>1</v>
      </c>
      <c r="B8" s="11" t="s">
        <v>27</v>
      </c>
      <c r="C8" s="10" t="s">
        <v>28</v>
      </c>
      <c r="D8" s="10" t="s">
        <v>29</v>
      </c>
      <c r="E8" s="11" t="s">
        <v>30</v>
      </c>
      <c r="F8" s="11" t="s">
        <v>26</v>
      </c>
      <c r="G8" s="11" t="s">
        <v>19</v>
      </c>
      <c r="H8" s="11" t="s">
        <v>20</v>
      </c>
      <c r="I8" s="11" t="s">
        <v>21</v>
      </c>
      <c r="J8" s="12" t="b">
        <f aca="false">TRUE()</f>
        <v>1</v>
      </c>
      <c r="K8" s="10"/>
    </row>
    <row r="9" customFormat="false" ht="22.35" hidden="false" customHeight="false" outlineLevel="0" collapsed="false">
      <c r="A9" s="7" t="n">
        <v>1</v>
      </c>
      <c r="B9" s="8" t="s">
        <v>31</v>
      </c>
      <c r="C9" s="9" t="s">
        <v>32</v>
      </c>
      <c r="D9" s="10" t="s">
        <v>33</v>
      </c>
      <c r="E9" s="11" t="s">
        <v>34</v>
      </c>
      <c r="F9" s="11" t="s">
        <v>35</v>
      </c>
      <c r="G9" s="11" t="s">
        <v>36</v>
      </c>
      <c r="H9" s="11" t="s">
        <v>37</v>
      </c>
      <c r="I9" s="11" t="s">
        <v>21</v>
      </c>
      <c r="J9" s="12" t="b">
        <f aca="false">TRUE()</f>
        <v>1</v>
      </c>
      <c r="K9" s="10"/>
    </row>
    <row r="10" customFormat="false" ht="22.35" hidden="false" customHeight="false" outlineLevel="0" collapsed="false">
      <c r="A10" s="7" t="n">
        <v>1</v>
      </c>
      <c r="B10" s="11" t="s">
        <v>38</v>
      </c>
      <c r="C10" s="10" t="s">
        <v>39</v>
      </c>
      <c r="D10" s="10" t="s">
        <v>40</v>
      </c>
      <c r="E10" s="11" t="s">
        <v>41</v>
      </c>
      <c r="F10" s="11" t="s">
        <v>42</v>
      </c>
      <c r="G10" s="11" t="s">
        <v>19</v>
      </c>
      <c r="H10" s="11" t="s">
        <v>43</v>
      </c>
      <c r="I10" s="11" t="s">
        <v>44</v>
      </c>
      <c r="J10" s="12" t="b">
        <f aca="false">TRUE()</f>
        <v>1</v>
      </c>
      <c r="K10" s="10"/>
    </row>
    <row r="11" customFormat="false" ht="15.75" hidden="false" customHeight="true" outlineLevel="0" collapsed="false">
      <c r="A11" s="4" t="n">
        <v>2</v>
      </c>
      <c r="B11" s="5"/>
      <c r="C11" s="6" t="s">
        <v>45</v>
      </c>
      <c r="D11" s="6"/>
      <c r="E11" s="6"/>
      <c r="F11" s="6"/>
      <c r="G11" s="6"/>
      <c r="H11" s="6"/>
      <c r="I11" s="6"/>
      <c r="J11" s="6"/>
      <c r="K11" s="6"/>
    </row>
    <row r="12" customFormat="false" ht="22.35" hidden="false" customHeight="false" outlineLevel="0" collapsed="false">
      <c r="A12" s="7" t="n">
        <v>2</v>
      </c>
      <c r="B12" s="11" t="s">
        <v>46</v>
      </c>
      <c r="C12" s="10" t="s">
        <v>47</v>
      </c>
      <c r="D12" s="10" t="s">
        <v>48</v>
      </c>
      <c r="E12" s="11" t="s">
        <v>49</v>
      </c>
      <c r="F12" s="11" t="s">
        <v>50</v>
      </c>
      <c r="G12" s="11" t="s">
        <v>19</v>
      </c>
      <c r="H12" s="11" t="s">
        <v>20</v>
      </c>
      <c r="I12" s="11" t="s">
        <v>21</v>
      </c>
      <c r="J12" s="12" t="b">
        <f aca="false">TRUE()</f>
        <v>1</v>
      </c>
      <c r="K12" s="10"/>
    </row>
    <row r="13" customFormat="false" ht="22.35" hidden="false" customHeight="false" outlineLevel="0" collapsed="false">
      <c r="A13" s="7" t="n">
        <v>2</v>
      </c>
      <c r="B13" s="11" t="s">
        <v>51</v>
      </c>
      <c r="C13" s="10" t="s">
        <v>52</v>
      </c>
      <c r="D13" s="10" t="s">
        <v>53</v>
      </c>
      <c r="E13" s="11" t="s">
        <v>54</v>
      </c>
      <c r="F13" s="11" t="s">
        <v>50</v>
      </c>
      <c r="G13" s="11" t="s">
        <v>19</v>
      </c>
      <c r="H13" s="11" t="s">
        <v>20</v>
      </c>
      <c r="I13" s="11" t="s">
        <v>21</v>
      </c>
      <c r="J13" s="12" t="b">
        <f aca="false">TRUE()</f>
        <v>1</v>
      </c>
      <c r="K13" s="10"/>
    </row>
    <row r="14" customFormat="false" ht="22.35" hidden="false" customHeight="false" outlineLevel="0" collapsed="false">
      <c r="A14" s="7" t="n">
        <v>2</v>
      </c>
      <c r="B14" s="11" t="s">
        <v>55</v>
      </c>
      <c r="C14" s="10" t="s">
        <v>56</v>
      </c>
      <c r="D14" s="10" t="s">
        <v>57</v>
      </c>
      <c r="E14" s="11" t="s">
        <v>58</v>
      </c>
      <c r="F14" s="11" t="s">
        <v>50</v>
      </c>
      <c r="G14" s="11" t="s">
        <v>19</v>
      </c>
      <c r="H14" s="11" t="s">
        <v>20</v>
      </c>
      <c r="I14" s="11" t="s">
        <v>21</v>
      </c>
      <c r="J14" s="12" t="b">
        <f aca="false">TRUE()</f>
        <v>1</v>
      </c>
      <c r="K14" s="10"/>
    </row>
    <row r="15" customFormat="false" ht="22.35" hidden="false" customHeight="false" outlineLevel="0" collapsed="false">
      <c r="A15" s="7" t="n">
        <v>2</v>
      </c>
      <c r="B15" s="11" t="s">
        <v>59</v>
      </c>
      <c r="C15" s="10" t="s">
        <v>60</v>
      </c>
      <c r="D15" s="10" t="s">
        <v>61</v>
      </c>
      <c r="E15" s="11" t="s">
        <v>62</v>
      </c>
      <c r="F15" s="11" t="s">
        <v>50</v>
      </c>
      <c r="G15" s="11" t="s">
        <v>19</v>
      </c>
      <c r="H15" s="11" t="s">
        <v>20</v>
      </c>
      <c r="I15" s="11" t="s">
        <v>21</v>
      </c>
      <c r="J15" s="12" t="b">
        <f aca="false">TRUE()</f>
        <v>1</v>
      </c>
      <c r="K15" s="10"/>
    </row>
    <row r="16" customFormat="false" ht="22.35" hidden="false" customHeight="false" outlineLevel="0" collapsed="false">
      <c r="A16" s="7" t="n">
        <v>2</v>
      </c>
      <c r="B16" s="11" t="s">
        <v>63</v>
      </c>
      <c r="C16" s="10" t="s">
        <v>64</v>
      </c>
      <c r="D16" s="10" t="s">
        <v>65</v>
      </c>
      <c r="E16" s="11" t="s">
        <v>66</v>
      </c>
      <c r="F16" s="11" t="s">
        <v>50</v>
      </c>
      <c r="G16" s="11" t="s">
        <v>19</v>
      </c>
      <c r="H16" s="11" t="s">
        <v>20</v>
      </c>
      <c r="I16" s="11" t="s">
        <v>21</v>
      </c>
      <c r="J16" s="12" t="b">
        <f aca="false">TRUE()</f>
        <v>1</v>
      </c>
      <c r="K16" s="10"/>
    </row>
    <row r="17" customFormat="false" ht="22.35" hidden="false" customHeight="false" outlineLevel="0" collapsed="false">
      <c r="A17" s="7" t="n">
        <v>2</v>
      </c>
      <c r="B17" s="11" t="s">
        <v>67</v>
      </c>
      <c r="C17" s="10" t="s">
        <v>68</v>
      </c>
      <c r="D17" s="10" t="s">
        <v>69</v>
      </c>
      <c r="E17" s="11" t="s">
        <v>70</v>
      </c>
      <c r="F17" s="11" t="s">
        <v>50</v>
      </c>
      <c r="G17" s="11" t="s">
        <v>19</v>
      </c>
      <c r="H17" s="11" t="s">
        <v>20</v>
      </c>
      <c r="I17" s="11" t="s">
        <v>21</v>
      </c>
      <c r="J17" s="12" t="b">
        <f aca="false">TRUE()</f>
        <v>1</v>
      </c>
      <c r="K17" s="10"/>
    </row>
    <row r="18" customFormat="false" ht="22.35" hidden="false" customHeight="false" outlineLevel="0" collapsed="false">
      <c r="A18" s="7" t="n">
        <v>2</v>
      </c>
      <c r="B18" s="11" t="s">
        <v>71</v>
      </c>
      <c r="C18" s="10" t="s">
        <v>72</v>
      </c>
      <c r="D18" s="10" t="s">
        <v>73</v>
      </c>
      <c r="E18" s="11" t="s">
        <v>74</v>
      </c>
      <c r="F18" s="11" t="s">
        <v>50</v>
      </c>
      <c r="G18" s="11" t="s">
        <v>19</v>
      </c>
      <c r="H18" s="11" t="s">
        <v>20</v>
      </c>
      <c r="I18" s="11" t="s">
        <v>21</v>
      </c>
      <c r="J18" s="12" t="b">
        <f aca="false">TRUE()</f>
        <v>1</v>
      </c>
      <c r="K18" s="10"/>
    </row>
    <row r="19" customFormat="false" ht="22.35" hidden="false" customHeight="false" outlineLevel="0" collapsed="false">
      <c r="A19" s="7" t="n">
        <v>2</v>
      </c>
      <c r="B19" s="11" t="s">
        <v>75</v>
      </c>
      <c r="C19" s="10" t="s">
        <v>76</v>
      </c>
      <c r="D19" s="10" t="s">
        <v>77</v>
      </c>
      <c r="E19" s="11" t="s">
        <v>78</v>
      </c>
      <c r="F19" s="11" t="s">
        <v>50</v>
      </c>
      <c r="G19" s="11" t="s">
        <v>19</v>
      </c>
      <c r="H19" s="11" t="s">
        <v>20</v>
      </c>
      <c r="I19" s="11" t="s">
        <v>21</v>
      </c>
      <c r="J19" s="12" t="b">
        <f aca="false">TRUE()</f>
        <v>1</v>
      </c>
      <c r="K19" s="10"/>
    </row>
    <row r="20" customFormat="false" ht="22.35" hidden="false" customHeight="false" outlineLevel="0" collapsed="false">
      <c r="A20" s="7" t="n">
        <v>2</v>
      </c>
      <c r="B20" s="11" t="s">
        <v>79</v>
      </c>
      <c r="C20" s="10" t="s">
        <v>80</v>
      </c>
      <c r="D20" s="10" t="s">
        <v>81</v>
      </c>
      <c r="E20" s="11" t="s">
        <v>82</v>
      </c>
      <c r="F20" s="11" t="s">
        <v>50</v>
      </c>
      <c r="G20" s="11" t="s">
        <v>19</v>
      </c>
      <c r="H20" s="11" t="s">
        <v>20</v>
      </c>
      <c r="I20" s="11" t="s">
        <v>21</v>
      </c>
      <c r="J20" s="12" t="b">
        <f aca="false">TRUE()</f>
        <v>1</v>
      </c>
      <c r="K20" s="10"/>
    </row>
    <row r="21" customFormat="false" ht="22.35" hidden="false" customHeight="false" outlineLevel="0" collapsed="false">
      <c r="A21" s="7" t="n">
        <v>2</v>
      </c>
      <c r="B21" s="8" t="s">
        <v>83</v>
      </c>
      <c r="C21" s="9" t="s">
        <v>84</v>
      </c>
      <c r="D21" s="10" t="s">
        <v>85</v>
      </c>
      <c r="E21" s="11" t="s">
        <v>86</v>
      </c>
      <c r="F21" s="11" t="s">
        <v>87</v>
      </c>
      <c r="G21" s="11" t="s">
        <v>88</v>
      </c>
      <c r="H21" s="11" t="s">
        <v>89</v>
      </c>
      <c r="I21" s="11" t="s">
        <v>21</v>
      </c>
      <c r="J21" s="12" t="b">
        <f aca="false">TRUE()</f>
        <v>1</v>
      </c>
      <c r="K21" s="10"/>
    </row>
    <row r="22" customFormat="false" ht="22.35" hidden="false" customHeight="false" outlineLevel="0" collapsed="false">
      <c r="A22" s="7" t="n">
        <v>2</v>
      </c>
      <c r="B22" s="11" t="s">
        <v>90</v>
      </c>
      <c r="C22" s="10" t="s">
        <v>91</v>
      </c>
      <c r="D22" s="10" t="s">
        <v>92</v>
      </c>
      <c r="E22" s="11" t="s">
        <v>93</v>
      </c>
      <c r="F22" s="11" t="s">
        <v>94</v>
      </c>
      <c r="G22" s="11" t="s">
        <v>36</v>
      </c>
      <c r="H22" s="11" t="s">
        <v>95</v>
      </c>
      <c r="I22" s="11" t="s">
        <v>44</v>
      </c>
      <c r="J22" s="12" t="b">
        <f aca="false">TRUE()</f>
        <v>1</v>
      </c>
      <c r="K22" s="10"/>
    </row>
    <row r="23" customFormat="false" ht="15.75" hidden="false" customHeight="true" outlineLevel="0" collapsed="false">
      <c r="A23" s="4" t="n">
        <v>3</v>
      </c>
      <c r="B23" s="5"/>
      <c r="C23" s="6" t="s">
        <v>96</v>
      </c>
      <c r="D23" s="6"/>
      <c r="E23" s="6"/>
      <c r="F23" s="6"/>
      <c r="G23" s="6"/>
      <c r="H23" s="6"/>
      <c r="I23" s="6"/>
      <c r="J23" s="6"/>
      <c r="K23" s="6"/>
    </row>
    <row r="24" customFormat="false" ht="22.35" hidden="false" customHeight="false" outlineLevel="0" collapsed="false">
      <c r="A24" s="7" t="n">
        <v>3</v>
      </c>
      <c r="B24" s="8" t="s">
        <v>97</v>
      </c>
      <c r="C24" s="9" t="s">
        <v>98</v>
      </c>
      <c r="D24" s="10" t="s">
        <v>99</v>
      </c>
      <c r="E24" s="11" t="s">
        <v>100</v>
      </c>
      <c r="F24" s="11" t="s">
        <v>101</v>
      </c>
      <c r="G24" s="11" t="s">
        <v>102</v>
      </c>
      <c r="H24" s="11" t="s">
        <v>89</v>
      </c>
      <c r="I24" s="11" t="s">
        <v>21</v>
      </c>
      <c r="J24" s="12" t="b">
        <f aca="false">TRUE()</f>
        <v>1</v>
      </c>
      <c r="K24" s="10"/>
    </row>
    <row r="25" customFormat="false" ht="22.35" hidden="false" customHeight="false" outlineLevel="0" collapsed="false">
      <c r="A25" s="7" t="n">
        <v>3</v>
      </c>
      <c r="B25" s="11" t="s">
        <v>103</v>
      </c>
      <c r="C25" s="10" t="s">
        <v>104</v>
      </c>
      <c r="D25" s="10" t="s">
        <v>105</v>
      </c>
      <c r="E25" s="11" t="s">
        <v>106</v>
      </c>
      <c r="F25" s="11" t="s">
        <v>107</v>
      </c>
      <c r="G25" s="11" t="s">
        <v>88</v>
      </c>
      <c r="H25" s="11" t="s">
        <v>95</v>
      </c>
      <c r="I25" s="11" t="s">
        <v>44</v>
      </c>
      <c r="J25" s="12" t="b">
        <f aca="false">TRUE()</f>
        <v>1</v>
      </c>
      <c r="K25" s="10"/>
    </row>
    <row r="26" customFormat="false" ht="22.35" hidden="false" customHeight="false" outlineLevel="0" collapsed="false">
      <c r="A26" s="7" t="n">
        <v>3</v>
      </c>
      <c r="B26" s="8" t="s">
        <v>108</v>
      </c>
      <c r="C26" s="9" t="s">
        <v>109</v>
      </c>
      <c r="D26" s="10" t="s">
        <v>110</v>
      </c>
      <c r="E26" s="11" t="s">
        <v>111</v>
      </c>
      <c r="F26" s="11" t="s">
        <v>112</v>
      </c>
      <c r="G26" s="11" t="s">
        <v>88</v>
      </c>
      <c r="H26" s="11" t="s">
        <v>95</v>
      </c>
      <c r="I26" s="11" t="s">
        <v>44</v>
      </c>
      <c r="J26" s="12" t="b">
        <f aca="false">TRUE()</f>
        <v>1</v>
      </c>
      <c r="K26" s="10"/>
    </row>
    <row r="27" customFormat="false" ht="22.35" hidden="false" customHeight="false" outlineLevel="0" collapsed="false">
      <c r="A27" s="7" t="n">
        <v>3</v>
      </c>
      <c r="B27" s="11" t="s">
        <v>113</v>
      </c>
      <c r="C27" s="10" t="s">
        <v>114</v>
      </c>
      <c r="D27" s="10" t="s">
        <v>115</v>
      </c>
      <c r="E27" s="11" t="s">
        <v>116</v>
      </c>
      <c r="F27" s="11" t="s">
        <v>117</v>
      </c>
      <c r="G27" s="11" t="s">
        <v>88</v>
      </c>
      <c r="H27" s="11" t="s">
        <v>89</v>
      </c>
      <c r="I27" s="11" t="s">
        <v>44</v>
      </c>
      <c r="J27" s="12" t="b">
        <f aca="false">TRUE()</f>
        <v>1</v>
      </c>
      <c r="K27" s="10"/>
    </row>
    <row r="28" customFormat="false" ht="22.35" hidden="false" customHeight="false" outlineLevel="0" collapsed="false">
      <c r="A28" s="7" t="n">
        <v>3</v>
      </c>
      <c r="B28" s="8" t="s">
        <v>118</v>
      </c>
      <c r="C28" s="9" t="s">
        <v>119</v>
      </c>
      <c r="D28" s="10" t="s">
        <v>120</v>
      </c>
      <c r="E28" s="11" t="s">
        <v>121</v>
      </c>
      <c r="F28" s="11" t="s">
        <v>122</v>
      </c>
      <c r="G28" s="11" t="s">
        <v>36</v>
      </c>
      <c r="H28" s="11" t="s">
        <v>95</v>
      </c>
      <c r="I28" s="11" t="s">
        <v>44</v>
      </c>
      <c r="J28" s="12" t="b">
        <f aca="false">TRUE()</f>
        <v>1</v>
      </c>
      <c r="K28" s="10"/>
    </row>
    <row r="29" customFormat="false" ht="22.35" hidden="false" customHeight="false" outlineLevel="0" collapsed="false">
      <c r="A29" s="7" t="n">
        <v>3</v>
      </c>
      <c r="B29" s="11" t="s">
        <v>123</v>
      </c>
      <c r="C29" s="10" t="s">
        <v>124</v>
      </c>
      <c r="D29" s="10" t="s">
        <v>125</v>
      </c>
      <c r="E29" s="11" t="s">
        <v>126</v>
      </c>
      <c r="F29" s="11" t="s">
        <v>127</v>
      </c>
      <c r="G29" s="11" t="s">
        <v>36</v>
      </c>
      <c r="H29" s="11" t="s">
        <v>95</v>
      </c>
      <c r="I29" s="11" t="s">
        <v>44</v>
      </c>
      <c r="J29" s="12" t="b">
        <f aca="false">TRUE()</f>
        <v>1</v>
      </c>
      <c r="K29" s="10"/>
    </row>
    <row r="30" customFormat="false" ht="22.35" hidden="false" customHeight="false" outlineLevel="0" collapsed="false">
      <c r="A30" s="7" t="n">
        <v>3</v>
      </c>
      <c r="B30" s="11" t="s">
        <v>128</v>
      </c>
      <c r="C30" s="10" t="s">
        <v>129</v>
      </c>
      <c r="D30" s="10" t="s">
        <v>130</v>
      </c>
      <c r="E30" s="11" t="s">
        <v>131</v>
      </c>
      <c r="F30" s="11" t="s">
        <v>127</v>
      </c>
      <c r="G30" s="11" t="s">
        <v>36</v>
      </c>
      <c r="H30" s="11" t="s">
        <v>95</v>
      </c>
      <c r="I30" s="11" t="s">
        <v>44</v>
      </c>
      <c r="J30" s="12" t="b">
        <f aca="false">TRUE()</f>
        <v>1</v>
      </c>
      <c r="K30" s="10"/>
    </row>
    <row r="31" customFormat="false" ht="22.35" hidden="false" customHeight="false" outlineLevel="0" collapsed="false">
      <c r="A31" s="7" t="n">
        <v>3</v>
      </c>
      <c r="B31" s="11" t="s">
        <v>132</v>
      </c>
      <c r="C31" s="10" t="s">
        <v>133</v>
      </c>
      <c r="D31" s="10" t="s">
        <v>134</v>
      </c>
      <c r="E31" s="11" t="s">
        <v>135</v>
      </c>
      <c r="F31" s="11" t="s">
        <v>136</v>
      </c>
      <c r="G31" s="11" t="s">
        <v>36</v>
      </c>
      <c r="H31" s="11" t="s">
        <v>95</v>
      </c>
      <c r="I31" s="11" t="s">
        <v>44</v>
      </c>
      <c r="J31" s="12" t="b">
        <f aca="false">TRUE()</f>
        <v>1</v>
      </c>
      <c r="K31" s="10"/>
    </row>
    <row r="32" customFormat="false" ht="22.35" hidden="false" customHeight="false" outlineLevel="0" collapsed="false">
      <c r="A32" s="7" t="n">
        <v>3</v>
      </c>
      <c r="B32" s="11" t="s">
        <v>137</v>
      </c>
      <c r="C32" s="10" t="s">
        <v>138</v>
      </c>
      <c r="D32" s="10" t="s">
        <v>139</v>
      </c>
      <c r="E32" s="11" t="s">
        <v>140</v>
      </c>
      <c r="F32" s="11" t="s">
        <v>141</v>
      </c>
      <c r="G32" s="11" t="s">
        <v>36</v>
      </c>
      <c r="H32" s="11" t="s">
        <v>43</v>
      </c>
      <c r="I32" s="11" t="s">
        <v>21</v>
      </c>
      <c r="J32" s="12" t="b">
        <f aca="false">TRUE()</f>
        <v>1</v>
      </c>
      <c r="K32" s="10"/>
    </row>
    <row r="33" customFormat="false" ht="22.35" hidden="false" customHeight="false" outlineLevel="0" collapsed="false">
      <c r="A33" s="7" t="n">
        <v>3</v>
      </c>
      <c r="B33" s="11" t="s">
        <v>142</v>
      </c>
      <c r="C33" s="10" t="s">
        <v>143</v>
      </c>
      <c r="D33" s="10" t="s">
        <v>144</v>
      </c>
      <c r="E33" s="11" t="s">
        <v>145</v>
      </c>
      <c r="F33" s="11" t="s">
        <v>146</v>
      </c>
      <c r="G33" s="11" t="s">
        <v>36</v>
      </c>
      <c r="H33" s="11" t="s">
        <v>43</v>
      </c>
      <c r="I33" s="11" t="s">
        <v>44</v>
      </c>
      <c r="J33" s="12" t="b">
        <f aca="false">TRUE()</f>
        <v>1</v>
      </c>
      <c r="K33" s="10"/>
    </row>
    <row r="34" customFormat="false" ht="22.35" hidden="false" customHeight="false" outlineLevel="0" collapsed="false">
      <c r="A34" s="7" t="n">
        <v>3</v>
      </c>
      <c r="B34" s="11" t="s">
        <v>147</v>
      </c>
      <c r="C34" s="10" t="s">
        <v>148</v>
      </c>
      <c r="D34" s="10" t="s">
        <v>149</v>
      </c>
      <c r="E34" s="11" t="s">
        <v>150</v>
      </c>
      <c r="F34" s="11" t="s">
        <v>151</v>
      </c>
      <c r="G34" s="11" t="s">
        <v>88</v>
      </c>
      <c r="H34" s="11" t="s">
        <v>43</v>
      </c>
      <c r="I34" s="11" t="s">
        <v>44</v>
      </c>
      <c r="J34" s="12" t="b">
        <f aca="false">TRUE()</f>
        <v>1</v>
      </c>
      <c r="K34" s="10"/>
    </row>
    <row r="35" customFormat="false" ht="22.35" hidden="false" customHeight="false" outlineLevel="0" collapsed="false">
      <c r="A35" s="7" t="n">
        <v>3</v>
      </c>
      <c r="B35" s="11" t="s">
        <v>152</v>
      </c>
      <c r="C35" s="10" t="s">
        <v>153</v>
      </c>
      <c r="D35" s="10" t="s">
        <v>154</v>
      </c>
      <c r="E35" s="11" t="s">
        <v>155</v>
      </c>
      <c r="F35" s="11" t="s">
        <v>156</v>
      </c>
      <c r="G35" s="11" t="s">
        <v>88</v>
      </c>
      <c r="H35" s="11" t="s">
        <v>43</v>
      </c>
      <c r="I35" s="11" t="s">
        <v>44</v>
      </c>
      <c r="J35" s="12" t="b">
        <f aca="false">TRUE()</f>
        <v>1</v>
      </c>
      <c r="K35" s="10"/>
    </row>
    <row r="36" customFormat="false" ht="22.35" hidden="false" customHeight="false" outlineLevel="0" collapsed="false">
      <c r="A36" s="7" t="n">
        <v>3</v>
      </c>
      <c r="B36" s="8" t="s">
        <v>157</v>
      </c>
      <c r="C36" s="9" t="s">
        <v>158</v>
      </c>
      <c r="D36" s="10" t="s">
        <v>159</v>
      </c>
      <c r="E36" s="11" t="s">
        <v>160</v>
      </c>
      <c r="F36" s="11" t="s">
        <v>161</v>
      </c>
      <c r="G36" s="11" t="s">
        <v>36</v>
      </c>
      <c r="H36" s="11" t="s">
        <v>43</v>
      </c>
      <c r="I36" s="11" t="s">
        <v>44</v>
      </c>
      <c r="J36" s="12" t="b">
        <f aca="false">TRUE()</f>
        <v>1</v>
      </c>
      <c r="K36" s="10"/>
    </row>
    <row r="37" customFormat="false" ht="22.35" hidden="false" customHeight="false" outlineLevel="0" collapsed="false">
      <c r="A37" s="7" t="n">
        <v>3</v>
      </c>
      <c r="B37" s="11" t="s">
        <v>162</v>
      </c>
      <c r="C37" s="10" t="s">
        <v>163</v>
      </c>
      <c r="D37" s="10" t="s">
        <v>164</v>
      </c>
      <c r="E37" s="11" t="s">
        <v>165</v>
      </c>
      <c r="F37" s="11" t="s">
        <v>166</v>
      </c>
      <c r="G37" s="11" t="s">
        <v>36</v>
      </c>
      <c r="H37" s="11" t="s">
        <v>43</v>
      </c>
      <c r="I37" s="11" t="s">
        <v>44</v>
      </c>
      <c r="J37" s="12" t="b">
        <f aca="false">TRUE()</f>
        <v>1</v>
      </c>
      <c r="K37" s="10"/>
    </row>
    <row r="38" customFormat="false" ht="22.35" hidden="false" customHeight="false" outlineLevel="0" collapsed="false">
      <c r="A38" s="7" t="n">
        <v>3</v>
      </c>
      <c r="B38" s="8" t="s">
        <v>167</v>
      </c>
      <c r="C38" s="9" t="s">
        <v>168</v>
      </c>
      <c r="D38" s="10" t="s">
        <v>169</v>
      </c>
      <c r="E38" s="11" t="s">
        <v>170</v>
      </c>
      <c r="F38" s="11" t="s">
        <v>171</v>
      </c>
      <c r="G38" s="11" t="s">
        <v>88</v>
      </c>
      <c r="H38" s="11" t="s">
        <v>43</v>
      </c>
      <c r="I38" s="11" t="s">
        <v>21</v>
      </c>
      <c r="J38" s="12" t="b">
        <f aca="false">TRUE()</f>
        <v>1</v>
      </c>
      <c r="K38" s="10"/>
    </row>
    <row r="39" customFormat="false" ht="15.75" hidden="false" customHeight="true" outlineLevel="0" collapsed="false">
      <c r="A39" s="4" t="n">
        <v>4</v>
      </c>
      <c r="B39" s="5"/>
      <c r="C39" s="6" t="s">
        <v>172</v>
      </c>
      <c r="D39" s="6"/>
      <c r="E39" s="6"/>
      <c r="F39" s="6"/>
      <c r="G39" s="6"/>
      <c r="H39" s="6"/>
      <c r="I39" s="6"/>
      <c r="J39" s="6"/>
      <c r="K39" s="6"/>
    </row>
    <row r="40" customFormat="false" ht="22.35" hidden="false" customHeight="false" outlineLevel="0" collapsed="false">
      <c r="A40" s="7" t="n">
        <v>4</v>
      </c>
      <c r="B40" s="11" t="s">
        <v>173</v>
      </c>
      <c r="C40" s="10" t="s">
        <v>174</v>
      </c>
      <c r="D40" s="10" t="s">
        <v>175</v>
      </c>
      <c r="E40" s="11" t="s">
        <v>176</v>
      </c>
      <c r="F40" s="11" t="s">
        <v>177</v>
      </c>
      <c r="G40" s="11" t="s">
        <v>36</v>
      </c>
      <c r="H40" s="11" t="s">
        <v>95</v>
      </c>
      <c r="I40" s="11" t="s">
        <v>44</v>
      </c>
      <c r="J40" s="12" t="b">
        <f aca="false">TRUE()</f>
        <v>1</v>
      </c>
      <c r="K40" s="10"/>
    </row>
    <row r="41" customFormat="false" ht="22.35" hidden="false" customHeight="false" outlineLevel="0" collapsed="false">
      <c r="A41" s="7" t="n">
        <v>4</v>
      </c>
      <c r="B41" s="8" t="s">
        <v>178</v>
      </c>
      <c r="C41" s="9" t="s">
        <v>179</v>
      </c>
      <c r="D41" s="10" t="s">
        <v>180</v>
      </c>
      <c r="E41" s="11" t="s">
        <v>181</v>
      </c>
      <c r="F41" s="11" t="s">
        <v>182</v>
      </c>
      <c r="G41" s="11" t="s">
        <v>19</v>
      </c>
      <c r="H41" s="11" t="s">
        <v>43</v>
      </c>
      <c r="I41" s="11" t="s">
        <v>183</v>
      </c>
      <c r="J41" s="12" t="b">
        <f aca="false">TRUE()</f>
        <v>1</v>
      </c>
      <c r="K41" s="10"/>
    </row>
    <row r="42" customFormat="false" ht="22.35" hidden="false" customHeight="false" outlineLevel="0" collapsed="false">
      <c r="A42" s="7" t="n">
        <v>4</v>
      </c>
      <c r="B42" s="11" t="s">
        <v>184</v>
      </c>
      <c r="C42" s="10" t="s">
        <v>185</v>
      </c>
      <c r="D42" s="10" t="s">
        <v>186</v>
      </c>
      <c r="E42" s="11" t="s">
        <v>187</v>
      </c>
      <c r="F42" s="11" t="s">
        <v>188</v>
      </c>
      <c r="G42" s="11" t="s">
        <v>36</v>
      </c>
      <c r="H42" s="11" t="s">
        <v>95</v>
      </c>
      <c r="I42" s="11" t="s">
        <v>189</v>
      </c>
      <c r="J42" s="12" t="b">
        <f aca="false">TRUE()</f>
        <v>1</v>
      </c>
      <c r="K42" s="10"/>
    </row>
    <row r="43" customFormat="false" ht="22.35" hidden="false" customHeight="false" outlineLevel="0" collapsed="false">
      <c r="A43" s="7" t="n">
        <v>4</v>
      </c>
      <c r="B43" s="11" t="s">
        <v>190</v>
      </c>
      <c r="C43" s="10" t="s">
        <v>191</v>
      </c>
      <c r="D43" s="10" t="s">
        <v>192</v>
      </c>
      <c r="E43" s="11" t="s">
        <v>193</v>
      </c>
      <c r="F43" s="11" t="s">
        <v>194</v>
      </c>
      <c r="G43" s="11" t="s">
        <v>19</v>
      </c>
      <c r="H43" s="11" t="s">
        <v>89</v>
      </c>
      <c r="I43" s="11" t="s">
        <v>183</v>
      </c>
      <c r="J43" s="12" t="b">
        <f aca="false">TRUE()</f>
        <v>1</v>
      </c>
      <c r="K43" s="10"/>
    </row>
    <row r="44" customFormat="false" ht="22.35" hidden="false" customHeight="false" outlineLevel="0" collapsed="false">
      <c r="A44" s="7" t="n">
        <v>4</v>
      </c>
      <c r="B44" s="8" t="s">
        <v>195</v>
      </c>
      <c r="C44" s="9" t="s">
        <v>196</v>
      </c>
      <c r="D44" s="10" t="s">
        <v>197</v>
      </c>
      <c r="E44" s="11" t="s">
        <v>198</v>
      </c>
      <c r="F44" s="11" t="s">
        <v>199</v>
      </c>
      <c r="G44" s="11" t="s">
        <v>36</v>
      </c>
      <c r="H44" s="11" t="s">
        <v>200</v>
      </c>
      <c r="I44" s="11" t="s">
        <v>183</v>
      </c>
      <c r="J44" s="12" t="b">
        <f aca="false">TRUE()</f>
        <v>1</v>
      </c>
      <c r="K44" s="10"/>
    </row>
    <row r="45" customFormat="false" ht="15.75" hidden="false" customHeight="true" outlineLevel="0" collapsed="false">
      <c r="A45" s="4" t="n">
        <v>5</v>
      </c>
      <c r="B45" s="5"/>
      <c r="C45" s="6" t="s">
        <v>201</v>
      </c>
      <c r="D45" s="6"/>
      <c r="E45" s="6"/>
      <c r="F45" s="6"/>
      <c r="G45" s="6"/>
      <c r="H45" s="6"/>
      <c r="I45" s="6"/>
      <c r="J45" s="6"/>
      <c r="K45" s="6"/>
    </row>
    <row r="46" customFormat="false" ht="22.35" hidden="false" customHeight="false" outlineLevel="0" collapsed="false">
      <c r="A46" s="7" t="n">
        <v>5</v>
      </c>
      <c r="B46" s="8" t="s">
        <v>202</v>
      </c>
      <c r="C46" s="9" t="s">
        <v>203</v>
      </c>
      <c r="D46" s="10" t="s">
        <v>204</v>
      </c>
      <c r="E46" s="11" t="s">
        <v>205</v>
      </c>
      <c r="F46" s="11" t="s">
        <v>206</v>
      </c>
      <c r="G46" s="11" t="s">
        <v>19</v>
      </c>
      <c r="H46" s="11" t="s">
        <v>95</v>
      </c>
      <c r="I46" s="11" t="s">
        <v>183</v>
      </c>
      <c r="J46" s="12" t="b">
        <f aca="false">TRUE()</f>
        <v>1</v>
      </c>
      <c r="K46" s="10"/>
    </row>
    <row r="47" customFormat="false" ht="22.35" hidden="false" customHeight="false" outlineLevel="0" collapsed="false">
      <c r="A47" s="7" t="n">
        <v>5</v>
      </c>
      <c r="B47" s="8" t="s">
        <v>207</v>
      </c>
      <c r="C47" s="9" t="s">
        <v>208</v>
      </c>
      <c r="D47" s="10" t="s">
        <v>209</v>
      </c>
      <c r="E47" s="11" t="s">
        <v>210</v>
      </c>
      <c r="F47" s="11" t="s">
        <v>211</v>
      </c>
      <c r="G47" s="11" t="s">
        <v>36</v>
      </c>
      <c r="H47" s="11" t="s">
        <v>200</v>
      </c>
      <c r="I47" s="11" t="s">
        <v>183</v>
      </c>
      <c r="J47" s="12" t="b">
        <f aca="false">TRUE()</f>
        <v>1</v>
      </c>
      <c r="K47" s="10"/>
    </row>
    <row r="48" customFormat="false" ht="22.35" hidden="false" customHeight="false" outlineLevel="0" collapsed="false">
      <c r="A48" s="7" t="n">
        <v>5</v>
      </c>
      <c r="B48" s="8" t="s">
        <v>212</v>
      </c>
      <c r="C48" s="9" t="s">
        <v>213</v>
      </c>
      <c r="D48" s="10" t="s">
        <v>214</v>
      </c>
      <c r="E48" s="11" t="s">
        <v>215</v>
      </c>
      <c r="F48" s="11" t="s">
        <v>216</v>
      </c>
      <c r="G48" s="11" t="s">
        <v>19</v>
      </c>
      <c r="H48" s="11" t="s">
        <v>200</v>
      </c>
      <c r="I48" s="11" t="s">
        <v>183</v>
      </c>
      <c r="J48" s="12" t="b">
        <f aca="false">TRUE()</f>
        <v>1</v>
      </c>
      <c r="K48" s="10"/>
    </row>
    <row r="49" customFormat="false" ht="15" hidden="false" customHeight="false" outlineLevel="0" collapsed="false">
      <c r="A49" s="7" t="n">
        <v>5</v>
      </c>
      <c r="B49" s="8" t="s">
        <v>217</v>
      </c>
      <c r="C49" s="9" t="s">
        <v>218</v>
      </c>
      <c r="D49" s="10" t="s">
        <v>219</v>
      </c>
      <c r="E49" s="11" t="s">
        <v>220</v>
      </c>
      <c r="F49" s="11" t="s">
        <v>216</v>
      </c>
      <c r="G49" s="11" t="s">
        <v>19</v>
      </c>
      <c r="H49" s="11" t="s">
        <v>200</v>
      </c>
      <c r="I49" s="11" t="s">
        <v>183</v>
      </c>
      <c r="J49" s="12" t="b">
        <f aca="false">TRUE()</f>
        <v>1</v>
      </c>
      <c r="K49" s="10"/>
    </row>
    <row r="50" customFormat="false" ht="22.35" hidden="false" customHeight="false" outlineLevel="0" collapsed="false">
      <c r="A50" s="7" t="n">
        <v>5</v>
      </c>
      <c r="B50" s="8" t="s">
        <v>221</v>
      </c>
      <c r="C50" s="9" t="s">
        <v>222</v>
      </c>
      <c r="D50" s="10" t="s">
        <v>223</v>
      </c>
      <c r="E50" s="11" t="s">
        <v>224</v>
      </c>
      <c r="F50" s="11" t="s">
        <v>225</v>
      </c>
      <c r="G50" s="11" t="s">
        <v>36</v>
      </c>
      <c r="H50" s="11" t="s">
        <v>200</v>
      </c>
      <c r="I50" s="11" t="s">
        <v>183</v>
      </c>
      <c r="J50" s="12" t="b">
        <f aca="false">TRUE()</f>
        <v>1</v>
      </c>
      <c r="K50" s="10"/>
    </row>
    <row r="51" customFormat="false" ht="22.35" hidden="false" customHeight="false" outlineLevel="0" collapsed="false">
      <c r="A51" s="7" t="n">
        <v>5</v>
      </c>
      <c r="B51" s="8" t="s">
        <v>226</v>
      </c>
      <c r="C51" s="9" t="s">
        <v>227</v>
      </c>
      <c r="D51" s="10" t="s">
        <v>228</v>
      </c>
      <c r="E51" s="11" t="s">
        <v>229</v>
      </c>
      <c r="F51" s="11" t="s">
        <v>230</v>
      </c>
      <c r="G51" s="11" t="s">
        <v>36</v>
      </c>
      <c r="H51" s="11" t="s">
        <v>200</v>
      </c>
      <c r="I51" s="11" t="s">
        <v>21</v>
      </c>
      <c r="J51" s="12" t="b">
        <f aca="false">TRUE()</f>
        <v>1</v>
      </c>
      <c r="K51" s="10"/>
    </row>
    <row r="52" customFormat="false" ht="22.35" hidden="false" customHeight="false" outlineLevel="0" collapsed="false">
      <c r="A52" s="7" t="n">
        <v>5</v>
      </c>
      <c r="B52" s="8" t="s">
        <v>231</v>
      </c>
      <c r="C52" s="9" t="s">
        <v>232</v>
      </c>
      <c r="D52" s="10" t="s">
        <v>233</v>
      </c>
      <c r="E52" s="11" t="s">
        <v>234</v>
      </c>
      <c r="F52" s="11" t="s">
        <v>235</v>
      </c>
      <c r="G52" s="11" t="s">
        <v>19</v>
      </c>
      <c r="H52" s="11" t="s">
        <v>200</v>
      </c>
      <c r="I52" s="11" t="s">
        <v>183</v>
      </c>
      <c r="J52" s="12" t="b">
        <f aca="false">TRUE()</f>
        <v>1</v>
      </c>
      <c r="K52" s="10"/>
    </row>
    <row r="53" customFormat="false" ht="22.35" hidden="false" customHeight="false" outlineLevel="0" collapsed="false">
      <c r="A53" s="7" t="n">
        <v>5</v>
      </c>
      <c r="B53" s="8" t="s">
        <v>236</v>
      </c>
      <c r="C53" s="9" t="s">
        <v>237</v>
      </c>
      <c r="D53" s="10" t="s">
        <v>238</v>
      </c>
      <c r="E53" s="11" t="s">
        <v>239</v>
      </c>
      <c r="F53" s="11" t="s">
        <v>50</v>
      </c>
      <c r="G53" s="11" t="s">
        <v>19</v>
      </c>
      <c r="H53" s="11" t="s">
        <v>20</v>
      </c>
      <c r="I53" s="11" t="s">
        <v>21</v>
      </c>
      <c r="J53" s="12" t="b">
        <f aca="false">TRUE()</f>
        <v>1</v>
      </c>
      <c r="K53" s="10"/>
    </row>
  </sheetData>
  <mergeCells count="7">
    <mergeCell ref="A1:K1"/>
    <mergeCell ref="A2:K2"/>
    <mergeCell ref="C5:K5"/>
    <mergeCell ref="C11:K11"/>
    <mergeCell ref="C23:K23"/>
    <mergeCell ref="C39:K39"/>
    <mergeCell ref="C45:K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6" min="5" style="0" width="2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42"/>
  </cols>
  <sheetData>
    <row r="1" customFormat="false" ht="21.75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.75" hidden="false" customHeight="true" outlineLevel="0" collapsed="false">
      <c r="A5" s="4" t="n">
        <v>1</v>
      </c>
      <c r="B5" s="5"/>
      <c r="C5" s="6" t="s">
        <v>13</v>
      </c>
      <c r="D5" s="6"/>
      <c r="E5" s="6"/>
      <c r="F5" s="6"/>
      <c r="G5" s="6"/>
      <c r="H5" s="6"/>
      <c r="I5" s="6"/>
      <c r="J5" s="6"/>
      <c r="K5" s="6"/>
    </row>
    <row r="6" customFormat="false" ht="22.35" hidden="false" customHeight="false" outlineLevel="0" collapsed="false">
      <c r="A6" s="7" t="n">
        <v>1</v>
      </c>
      <c r="B6" s="8" t="s">
        <v>14</v>
      </c>
      <c r="C6" s="9" t="s">
        <v>15</v>
      </c>
      <c r="D6" s="10" t="s">
        <v>16</v>
      </c>
      <c r="E6" s="11" t="s">
        <v>17</v>
      </c>
      <c r="F6" s="11" t="s">
        <v>18</v>
      </c>
      <c r="G6" s="11" t="s">
        <v>19</v>
      </c>
      <c r="H6" s="11" t="s">
        <v>20</v>
      </c>
      <c r="I6" s="11" t="s">
        <v>21</v>
      </c>
      <c r="J6" s="12" t="b">
        <f aca="false">TRUE()</f>
        <v>1</v>
      </c>
      <c r="K6" s="10"/>
    </row>
    <row r="7" customFormat="false" ht="22.35" hidden="false" customHeight="false" outlineLevel="0" collapsed="false">
      <c r="A7" s="7" t="n">
        <v>1</v>
      </c>
      <c r="B7" s="11" t="s">
        <v>22</v>
      </c>
      <c r="C7" s="10" t="s">
        <v>23</v>
      </c>
      <c r="D7" s="10" t="s">
        <v>24</v>
      </c>
      <c r="E7" s="11" t="s">
        <v>25</v>
      </c>
      <c r="F7" s="11" t="s">
        <v>26</v>
      </c>
      <c r="G7" s="11" t="s">
        <v>19</v>
      </c>
      <c r="H7" s="11" t="s">
        <v>20</v>
      </c>
      <c r="I7" s="11" t="s">
        <v>21</v>
      </c>
      <c r="J7" s="12" t="b">
        <f aca="false">TRUE()</f>
        <v>1</v>
      </c>
      <c r="K7" s="10"/>
    </row>
    <row r="8" customFormat="false" ht="22.35" hidden="false" customHeight="false" outlineLevel="0" collapsed="false">
      <c r="A8" s="7" t="n">
        <v>1</v>
      </c>
      <c r="B8" s="11" t="s">
        <v>27</v>
      </c>
      <c r="C8" s="10" t="s">
        <v>28</v>
      </c>
      <c r="D8" s="10" t="s">
        <v>29</v>
      </c>
      <c r="E8" s="11" t="s">
        <v>30</v>
      </c>
      <c r="F8" s="11" t="s">
        <v>26</v>
      </c>
      <c r="G8" s="11" t="s">
        <v>19</v>
      </c>
      <c r="H8" s="11" t="s">
        <v>20</v>
      </c>
      <c r="I8" s="11" t="s">
        <v>21</v>
      </c>
      <c r="J8" s="12" t="b">
        <f aca="false">TRUE()</f>
        <v>1</v>
      </c>
      <c r="K8" s="10"/>
    </row>
    <row r="9" customFormat="false" ht="22.35" hidden="false" customHeight="false" outlineLevel="0" collapsed="false">
      <c r="A9" s="7" t="n">
        <v>1</v>
      </c>
      <c r="B9" s="8" t="s">
        <v>31</v>
      </c>
      <c r="C9" s="9" t="s">
        <v>32</v>
      </c>
      <c r="D9" s="10" t="s">
        <v>33</v>
      </c>
      <c r="E9" s="11" t="s">
        <v>34</v>
      </c>
      <c r="F9" s="11" t="s">
        <v>35</v>
      </c>
      <c r="G9" s="11" t="s">
        <v>36</v>
      </c>
      <c r="H9" s="11" t="s">
        <v>37</v>
      </c>
      <c r="I9" s="11" t="s">
        <v>21</v>
      </c>
      <c r="J9" s="12" t="b">
        <f aca="false">TRUE()</f>
        <v>1</v>
      </c>
      <c r="K9" s="10" t="s">
        <v>241</v>
      </c>
    </row>
    <row r="10" customFormat="false" ht="22.35" hidden="false" customHeight="false" outlineLevel="0" collapsed="false">
      <c r="A10" s="7" t="n">
        <v>1</v>
      </c>
      <c r="B10" s="11" t="s">
        <v>38</v>
      </c>
      <c r="C10" s="10" t="s">
        <v>39</v>
      </c>
      <c r="D10" s="10" t="s">
        <v>40</v>
      </c>
      <c r="E10" s="11" t="s">
        <v>41</v>
      </c>
      <c r="F10" s="11" t="s">
        <v>42</v>
      </c>
      <c r="G10" s="11" t="s">
        <v>19</v>
      </c>
      <c r="H10" s="11" t="s">
        <v>43</v>
      </c>
      <c r="I10" s="11" t="s">
        <v>44</v>
      </c>
      <c r="J10" s="12" t="b">
        <f aca="false">TRUE()</f>
        <v>1</v>
      </c>
      <c r="K10" s="10"/>
    </row>
    <row r="11" customFormat="false" ht="15.75" hidden="false" customHeight="true" outlineLevel="0" collapsed="false">
      <c r="A11" s="4" t="n">
        <v>2</v>
      </c>
      <c r="B11" s="5"/>
      <c r="C11" s="6" t="s">
        <v>45</v>
      </c>
      <c r="D11" s="6"/>
      <c r="E11" s="6"/>
      <c r="F11" s="6"/>
      <c r="G11" s="6"/>
      <c r="H11" s="6"/>
      <c r="I11" s="6"/>
      <c r="J11" s="6"/>
      <c r="K11" s="6"/>
    </row>
    <row r="12" customFormat="false" ht="22.35" hidden="false" customHeight="false" outlineLevel="0" collapsed="false">
      <c r="A12" s="7" t="n">
        <v>2</v>
      </c>
      <c r="B12" s="11" t="s">
        <v>46</v>
      </c>
      <c r="C12" s="10" t="s">
        <v>47</v>
      </c>
      <c r="D12" s="10" t="s">
        <v>48</v>
      </c>
      <c r="E12" s="11" t="s">
        <v>49</v>
      </c>
      <c r="F12" s="11" t="s">
        <v>50</v>
      </c>
      <c r="G12" s="11" t="s">
        <v>19</v>
      </c>
      <c r="H12" s="11" t="s">
        <v>20</v>
      </c>
      <c r="I12" s="11" t="s">
        <v>21</v>
      </c>
      <c r="J12" s="12" t="b">
        <f aca="false">TRUE()</f>
        <v>1</v>
      </c>
      <c r="K12" s="10"/>
    </row>
    <row r="13" customFormat="false" ht="22.35" hidden="false" customHeight="false" outlineLevel="0" collapsed="false">
      <c r="A13" s="7" t="n">
        <v>2</v>
      </c>
      <c r="B13" s="11" t="s">
        <v>51</v>
      </c>
      <c r="C13" s="10" t="s">
        <v>52</v>
      </c>
      <c r="D13" s="10" t="s">
        <v>53</v>
      </c>
      <c r="E13" s="11" t="s">
        <v>54</v>
      </c>
      <c r="F13" s="11" t="s">
        <v>50</v>
      </c>
      <c r="G13" s="11" t="s">
        <v>19</v>
      </c>
      <c r="H13" s="11" t="s">
        <v>20</v>
      </c>
      <c r="I13" s="11" t="s">
        <v>21</v>
      </c>
      <c r="J13" s="12" t="b">
        <f aca="false">TRUE()</f>
        <v>1</v>
      </c>
      <c r="K13" s="10"/>
    </row>
    <row r="14" customFormat="false" ht="22.35" hidden="false" customHeight="false" outlineLevel="0" collapsed="false">
      <c r="A14" s="7" t="n">
        <v>2</v>
      </c>
      <c r="B14" s="11" t="s">
        <v>55</v>
      </c>
      <c r="C14" s="10" t="s">
        <v>56</v>
      </c>
      <c r="D14" s="10" t="s">
        <v>57</v>
      </c>
      <c r="E14" s="11" t="s">
        <v>58</v>
      </c>
      <c r="F14" s="11" t="s">
        <v>50</v>
      </c>
      <c r="G14" s="11" t="s">
        <v>19</v>
      </c>
      <c r="H14" s="11" t="s">
        <v>20</v>
      </c>
      <c r="I14" s="11" t="s">
        <v>21</v>
      </c>
      <c r="J14" s="12" t="b">
        <f aca="false">TRUE()</f>
        <v>1</v>
      </c>
      <c r="K14" s="10"/>
    </row>
    <row r="15" customFormat="false" ht="22.35" hidden="false" customHeight="false" outlineLevel="0" collapsed="false">
      <c r="A15" s="7" t="n">
        <v>2</v>
      </c>
      <c r="B15" s="11" t="s">
        <v>59</v>
      </c>
      <c r="C15" s="10" t="s">
        <v>60</v>
      </c>
      <c r="D15" s="10" t="s">
        <v>61</v>
      </c>
      <c r="E15" s="11" t="s">
        <v>62</v>
      </c>
      <c r="F15" s="11" t="s">
        <v>50</v>
      </c>
      <c r="G15" s="11" t="s">
        <v>19</v>
      </c>
      <c r="H15" s="11" t="s">
        <v>20</v>
      </c>
      <c r="I15" s="11" t="s">
        <v>21</v>
      </c>
      <c r="J15" s="12" t="b">
        <f aca="false">TRUE()</f>
        <v>1</v>
      </c>
      <c r="K15" s="10"/>
    </row>
    <row r="16" customFormat="false" ht="22.35" hidden="false" customHeight="false" outlineLevel="0" collapsed="false">
      <c r="A16" s="7" t="n">
        <v>2</v>
      </c>
      <c r="B16" s="11" t="s">
        <v>63</v>
      </c>
      <c r="C16" s="10" t="s">
        <v>64</v>
      </c>
      <c r="D16" s="10" t="s">
        <v>65</v>
      </c>
      <c r="E16" s="11" t="s">
        <v>66</v>
      </c>
      <c r="F16" s="11" t="s">
        <v>50</v>
      </c>
      <c r="G16" s="11" t="s">
        <v>19</v>
      </c>
      <c r="H16" s="11" t="s">
        <v>20</v>
      </c>
      <c r="I16" s="11" t="s">
        <v>21</v>
      </c>
      <c r="J16" s="12" t="b">
        <f aca="false">TRUE()</f>
        <v>1</v>
      </c>
      <c r="K16" s="10"/>
    </row>
    <row r="17" customFormat="false" ht="22.35" hidden="false" customHeight="false" outlineLevel="0" collapsed="false">
      <c r="A17" s="7" t="n">
        <v>2</v>
      </c>
      <c r="B17" s="11" t="s">
        <v>67</v>
      </c>
      <c r="C17" s="10" t="s">
        <v>68</v>
      </c>
      <c r="D17" s="10" t="s">
        <v>69</v>
      </c>
      <c r="E17" s="11" t="s">
        <v>70</v>
      </c>
      <c r="F17" s="11" t="s">
        <v>50</v>
      </c>
      <c r="G17" s="11" t="s">
        <v>19</v>
      </c>
      <c r="H17" s="11" t="s">
        <v>20</v>
      </c>
      <c r="I17" s="11" t="s">
        <v>21</v>
      </c>
      <c r="J17" s="12" t="b">
        <f aca="false">TRUE()</f>
        <v>1</v>
      </c>
      <c r="K17" s="10"/>
    </row>
    <row r="18" customFormat="false" ht="22.35" hidden="false" customHeight="false" outlineLevel="0" collapsed="false">
      <c r="A18" s="7" t="n">
        <v>2</v>
      </c>
      <c r="B18" s="11" t="s">
        <v>71</v>
      </c>
      <c r="C18" s="10" t="s">
        <v>72</v>
      </c>
      <c r="D18" s="10" t="s">
        <v>73</v>
      </c>
      <c r="E18" s="11" t="s">
        <v>74</v>
      </c>
      <c r="F18" s="11" t="s">
        <v>50</v>
      </c>
      <c r="G18" s="11" t="s">
        <v>19</v>
      </c>
      <c r="H18" s="11" t="s">
        <v>20</v>
      </c>
      <c r="I18" s="11" t="s">
        <v>21</v>
      </c>
      <c r="J18" s="12" t="b">
        <f aca="false">TRUE()</f>
        <v>1</v>
      </c>
      <c r="K18" s="10"/>
    </row>
    <row r="19" customFormat="false" ht="22.35" hidden="false" customHeight="false" outlineLevel="0" collapsed="false">
      <c r="A19" s="7" t="n">
        <v>2</v>
      </c>
      <c r="B19" s="11" t="s">
        <v>75</v>
      </c>
      <c r="C19" s="10" t="s">
        <v>76</v>
      </c>
      <c r="D19" s="10" t="s">
        <v>77</v>
      </c>
      <c r="E19" s="11" t="s">
        <v>78</v>
      </c>
      <c r="F19" s="11" t="s">
        <v>50</v>
      </c>
      <c r="G19" s="11" t="s">
        <v>19</v>
      </c>
      <c r="H19" s="11" t="s">
        <v>20</v>
      </c>
      <c r="I19" s="11" t="s">
        <v>21</v>
      </c>
      <c r="J19" s="12" t="b">
        <f aca="false">TRUE()</f>
        <v>1</v>
      </c>
      <c r="K19" s="10"/>
    </row>
    <row r="20" customFormat="false" ht="22.35" hidden="false" customHeight="false" outlineLevel="0" collapsed="false">
      <c r="A20" s="7" t="n">
        <v>2</v>
      </c>
      <c r="B20" s="11" t="s">
        <v>79</v>
      </c>
      <c r="C20" s="10" t="s">
        <v>80</v>
      </c>
      <c r="D20" s="10" t="s">
        <v>81</v>
      </c>
      <c r="E20" s="11" t="s">
        <v>82</v>
      </c>
      <c r="F20" s="11" t="s">
        <v>50</v>
      </c>
      <c r="G20" s="11" t="s">
        <v>19</v>
      </c>
      <c r="H20" s="11" t="s">
        <v>20</v>
      </c>
      <c r="I20" s="11" t="s">
        <v>21</v>
      </c>
      <c r="J20" s="12" t="b">
        <f aca="false">TRUE()</f>
        <v>1</v>
      </c>
      <c r="K20" s="10"/>
    </row>
    <row r="21" customFormat="false" ht="22.35" hidden="false" customHeight="false" outlineLevel="0" collapsed="false">
      <c r="A21" s="7" t="n">
        <v>2</v>
      </c>
      <c r="B21" s="8" t="s">
        <v>83</v>
      </c>
      <c r="C21" s="9" t="s">
        <v>84</v>
      </c>
      <c r="D21" s="10" t="s">
        <v>85</v>
      </c>
      <c r="E21" s="11" t="s">
        <v>86</v>
      </c>
      <c r="F21" s="11" t="s">
        <v>87</v>
      </c>
      <c r="G21" s="11" t="s">
        <v>88</v>
      </c>
      <c r="H21" s="11" t="s">
        <v>89</v>
      </c>
      <c r="I21" s="11" t="s">
        <v>21</v>
      </c>
      <c r="J21" s="12" t="b">
        <f aca="false">TRUE()</f>
        <v>1</v>
      </c>
      <c r="K21" s="10"/>
    </row>
    <row r="22" customFormat="false" ht="22.35" hidden="false" customHeight="false" outlineLevel="0" collapsed="false">
      <c r="A22" s="7" t="n">
        <v>2</v>
      </c>
      <c r="B22" s="11" t="s">
        <v>90</v>
      </c>
      <c r="C22" s="10" t="s">
        <v>91</v>
      </c>
      <c r="D22" s="10" t="s">
        <v>92</v>
      </c>
      <c r="E22" s="11" t="s">
        <v>93</v>
      </c>
      <c r="F22" s="11" t="s">
        <v>94</v>
      </c>
      <c r="G22" s="11" t="s">
        <v>36</v>
      </c>
      <c r="H22" s="11" t="s">
        <v>95</v>
      </c>
      <c r="I22" s="11" t="s">
        <v>44</v>
      </c>
      <c r="J22" s="12" t="b">
        <f aca="false">TRUE()</f>
        <v>1</v>
      </c>
      <c r="K22" s="10"/>
    </row>
    <row r="23" customFormat="false" ht="15.75" hidden="false" customHeight="true" outlineLevel="0" collapsed="false">
      <c r="A23" s="4" t="n">
        <v>3</v>
      </c>
      <c r="B23" s="5"/>
      <c r="C23" s="6" t="s">
        <v>96</v>
      </c>
      <c r="D23" s="6"/>
      <c r="E23" s="6"/>
      <c r="F23" s="6"/>
      <c r="G23" s="6"/>
      <c r="H23" s="6"/>
      <c r="I23" s="6"/>
      <c r="J23" s="6"/>
      <c r="K23" s="6"/>
    </row>
    <row r="24" customFormat="false" ht="22.35" hidden="false" customHeight="false" outlineLevel="0" collapsed="false">
      <c r="A24" s="7" t="n">
        <v>3</v>
      </c>
      <c r="B24" s="8" t="s">
        <v>97</v>
      </c>
      <c r="C24" s="9" t="s">
        <v>98</v>
      </c>
      <c r="D24" s="10" t="s">
        <v>99</v>
      </c>
      <c r="E24" s="11" t="s">
        <v>100</v>
      </c>
      <c r="F24" s="11" t="s">
        <v>101</v>
      </c>
      <c r="G24" s="11" t="s">
        <v>102</v>
      </c>
      <c r="H24" s="11" t="s">
        <v>89</v>
      </c>
      <c r="I24" s="11" t="s">
        <v>21</v>
      </c>
      <c r="J24" s="12" t="b">
        <f aca="false">TRUE()</f>
        <v>1</v>
      </c>
      <c r="K24" s="10"/>
    </row>
    <row r="25" customFormat="false" ht="22.35" hidden="false" customHeight="false" outlineLevel="0" collapsed="false">
      <c r="A25" s="7" t="n">
        <v>3</v>
      </c>
      <c r="B25" s="11" t="s">
        <v>103</v>
      </c>
      <c r="C25" s="10" t="s">
        <v>104</v>
      </c>
      <c r="D25" s="10" t="s">
        <v>105</v>
      </c>
      <c r="E25" s="11" t="s">
        <v>106</v>
      </c>
      <c r="F25" s="11" t="s">
        <v>107</v>
      </c>
      <c r="G25" s="11" t="s">
        <v>88</v>
      </c>
      <c r="H25" s="11" t="s">
        <v>95</v>
      </c>
      <c r="I25" s="11" t="s">
        <v>44</v>
      </c>
      <c r="J25" s="12" t="b">
        <f aca="false">TRUE()</f>
        <v>1</v>
      </c>
      <c r="K25" s="10"/>
    </row>
    <row r="26" customFormat="false" ht="22.35" hidden="false" customHeight="false" outlineLevel="0" collapsed="false">
      <c r="A26" s="7" t="n">
        <v>3</v>
      </c>
      <c r="B26" s="8" t="s">
        <v>108</v>
      </c>
      <c r="C26" s="9" t="s">
        <v>109</v>
      </c>
      <c r="D26" s="10" t="s">
        <v>110</v>
      </c>
      <c r="E26" s="11" t="s">
        <v>111</v>
      </c>
      <c r="F26" s="11" t="s">
        <v>112</v>
      </c>
      <c r="G26" s="11" t="s">
        <v>88</v>
      </c>
      <c r="H26" s="11" t="s">
        <v>95</v>
      </c>
      <c r="I26" s="11" t="s">
        <v>44</v>
      </c>
      <c r="J26" s="12" t="b">
        <f aca="false">TRUE()</f>
        <v>1</v>
      </c>
      <c r="K26" s="10"/>
    </row>
    <row r="27" customFormat="false" ht="32.8" hidden="false" customHeight="false" outlineLevel="0" collapsed="false">
      <c r="A27" s="7" t="n">
        <v>3</v>
      </c>
      <c r="B27" s="11" t="s">
        <v>113</v>
      </c>
      <c r="C27" s="10" t="s">
        <v>114</v>
      </c>
      <c r="D27" s="10" t="s">
        <v>115</v>
      </c>
      <c r="E27" s="11" t="s">
        <v>116</v>
      </c>
      <c r="F27" s="11" t="s">
        <v>117</v>
      </c>
      <c r="G27" s="11" t="s">
        <v>88</v>
      </c>
      <c r="H27" s="11" t="s">
        <v>89</v>
      </c>
      <c r="I27" s="11" t="s">
        <v>44</v>
      </c>
      <c r="J27" s="12" t="b">
        <f aca="false">TRUE()</f>
        <v>1</v>
      </c>
      <c r="K27" s="10" t="s">
        <v>242</v>
      </c>
    </row>
    <row r="28" customFormat="false" ht="22.35" hidden="false" customHeight="false" outlineLevel="0" collapsed="false">
      <c r="A28" s="7" t="n">
        <v>3</v>
      </c>
      <c r="B28" s="8" t="s">
        <v>118</v>
      </c>
      <c r="C28" s="9" t="s">
        <v>119</v>
      </c>
      <c r="D28" s="10" t="s">
        <v>120</v>
      </c>
      <c r="E28" s="11" t="s">
        <v>121</v>
      </c>
      <c r="F28" s="11" t="s">
        <v>122</v>
      </c>
      <c r="G28" s="11" t="s">
        <v>36</v>
      </c>
      <c r="H28" s="11" t="s">
        <v>95</v>
      </c>
      <c r="I28" s="11" t="s">
        <v>44</v>
      </c>
      <c r="J28" s="12" t="b">
        <f aca="false">TRUE()</f>
        <v>1</v>
      </c>
      <c r="K28" s="10"/>
    </row>
    <row r="29" customFormat="false" ht="22.35" hidden="false" customHeight="false" outlineLevel="0" collapsed="false">
      <c r="A29" s="7" t="n">
        <v>3</v>
      </c>
      <c r="B29" s="11" t="s">
        <v>123</v>
      </c>
      <c r="C29" s="10" t="s">
        <v>124</v>
      </c>
      <c r="D29" s="10" t="s">
        <v>125</v>
      </c>
      <c r="E29" s="11" t="s">
        <v>126</v>
      </c>
      <c r="F29" s="11" t="s">
        <v>127</v>
      </c>
      <c r="G29" s="11" t="s">
        <v>36</v>
      </c>
      <c r="H29" s="11" t="s">
        <v>95</v>
      </c>
      <c r="I29" s="11" t="s">
        <v>44</v>
      </c>
      <c r="J29" s="12" t="b">
        <f aca="false">TRUE()</f>
        <v>1</v>
      </c>
      <c r="K29" s="10"/>
    </row>
    <row r="30" customFormat="false" ht="22.35" hidden="false" customHeight="false" outlineLevel="0" collapsed="false">
      <c r="A30" s="7" t="n">
        <v>3</v>
      </c>
      <c r="B30" s="11" t="s">
        <v>128</v>
      </c>
      <c r="C30" s="10" t="s">
        <v>129</v>
      </c>
      <c r="D30" s="10" t="s">
        <v>130</v>
      </c>
      <c r="E30" s="11" t="s">
        <v>131</v>
      </c>
      <c r="F30" s="11" t="s">
        <v>127</v>
      </c>
      <c r="G30" s="11" t="s">
        <v>36</v>
      </c>
      <c r="H30" s="11" t="s">
        <v>95</v>
      </c>
      <c r="I30" s="11" t="s">
        <v>44</v>
      </c>
      <c r="J30" s="12" t="b">
        <f aca="false">TRUE()</f>
        <v>1</v>
      </c>
      <c r="K30" s="10"/>
    </row>
    <row r="31" customFormat="false" ht="22.35" hidden="false" customHeight="false" outlineLevel="0" collapsed="false">
      <c r="A31" s="7" t="n">
        <v>3</v>
      </c>
      <c r="B31" s="11" t="s">
        <v>132</v>
      </c>
      <c r="C31" s="10" t="s">
        <v>133</v>
      </c>
      <c r="D31" s="10" t="s">
        <v>134</v>
      </c>
      <c r="E31" s="11" t="s">
        <v>135</v>
      </c>
      <c r="F31" s="11" t="s">
        <v>136</v>
      </c>
      <c r="G31" s="11" t="s">
        <v>36</v>
      </c>
      <c r="H31" s="11" t="s">
        <v>95</v>
      </c>
      <c r="I31" s="11" t="s">
        <v>44</v>
      </c>
      <c r="J31" s="12" t="b">
        <f aca="false">TRUE()</f>
        <v>1</v>
      </c>
      <c r="K31" s="10"/>
    </row>
    <row r="32" customFormat="false" ht="22.35" hidden="false" customHeight="false" outlineLevel="0" collapsed="false">
      <c r="A32" s="7" t="n">
        <v>3</v>
      </c>
      <c r="B32" s="11" t="s">
        <v>137</v>
      </c>
      <c r="C32" s="10" t="s">
        <v>138</v>
      </c>
      <c r="D32" s="10" t="s">
        <v>139</v>
      </c>
      <c r="E32" s="11" t="s">
        <v>140</v>
      </c>
      <c r="F32" s="11" t="s">
        <v>141</v>
      </c>
      <c r="G32" s="11" t="s">
        <v>36</v>
      </c>
      <c r="H32" s="11" t="s">
        <v>43</v>
      </c>
      <c r="I32" s="11" t="s">
        <v>21</v>
      </c>
      <c r="J32" s="12" t="b">
        <f aca="false">TRUE()</f>
        <v>1</v>
      </c>
      <c r="K32" s="10"/>
    </row>
    <row r="33" customFormat="false" ht="32.8" hidden="false" customHeight="false" outlineLevel="0" collapsed="false">
      <c r="A33" s="7" t="n">
        <v>3</v>
      </c>
      <c r="B33" s="11" t="s">
        <v>142</v>
      </c>
      <c r="C33" s="10" t="s">
        <v>143</v>
      </c>
      <c r="D33" s="10" t="s">
        <v>144</v>
      </c>
      <c r="E33" s="11" t="s">
        <v>145</v>
      </c>
      <c r="F33" s="11" t="s">
        <v>146</v>
      </c>
      <c r="G33" s="11" t="s">
        <v>36</v>
      </c>
      <c r="H33" s="11" t="s">
        <v>43</v>
      </c>
      <c r="I33" s="11" t="s">
        <v>44</v>
      </c>
      <c r="J33" s="12" t="b">
        <f aca="false">TRUE()</f>
        <v>1</v>
      </c>
      <c r="K33" s="10" t="s">
        <v>243</v>
      </c>
    </row>
    <row r="34" customFormat="false" ht="22.35" hidden="false" customHeight="false" outlineLevel="0" collapsed="false">
      <c r="A34" s="7" t="n">
        <v>3</v>
      </c>
      <c r="B34" s="11" t="s">
        <v>147</v>
      </c>
      <c r="C34" s="10" t="s">
        <v>148</v>
      </c>
      <c r="D34" s="10" t="s">
        <v>149</v>
      </c>
      <c r="E34" s="11" t="s">
        <v>150</v>
      </c>
      <c r="F34" s="11" t="s">
        <v>151</v>
      </c>
      <c r="G34" s="11" t="s">
        <v>88</v>
      </c>
      <c r="H34" s="11" t="s">
        <v>43</v>
      </c>
      <c r="I34" s="11" t="s">
        <v>44</v>
      </c>
      <c r="J34" s="12" t="b">
        <f aca="false">TRUE()</f>
        <v>1</v>
      </c>
      <c r="K34" s="10"/>
    </row>
    <row r="35" customFormat="false" ht="22.35" hidden="false" customHeight="false" outlineLevel="0" collapsed="false">
      <c r="A35" s="7" t="n">
        <v>3</v>
      </c>
      <c r="B35" s="11" t="s">
        <v>152</v>
      </c>
      <c r="C35" s="10" t="s">
        <v>153</v>
      </c>
      <c r="D35" s="10" t="s">
        <v>154</v>
      </c>
      <c r="E35" s="11" t="s">
        <v>155</v>
      </c>
      <c r="F35" s="11" t="s">
        <v>156</v>
      </c>
      <c r="G35" s="11" t="s">
        <v>88</v>
      </c>
      <c r="H35" s="11" t="s">
        <v>43</v>
      </c>
      <c r="I35" s="11" t="s">
        <v>44</v>
      </c>
      <c r="J35" s="12" t="b">
        <f aca="false">TRUE()</f>
        <v>1</v>
      </c>
      <c r="K35" s="10"/>
    </row>
    <row r="36" customFormat="false" ht="22.35" hidden="false" customHeight="false" outlineLevel="0" collapsed="false">
      <c r="A36" s="7" t="n">
        <v>3</v>
      </c>
      <c r="B36" s="8" t="s">
        <v>157</v>
      </c>
      <c r="C36" s="9" t="s">
        <v>158</v>
      </c>
      <c r="D36" s="10" t="s">
        <v>159</v>
      </c>
      <c r="E36" s="11" t="s">
        <v>160</v>
      </c>
      <c r="F36" s="11" t="s">
        <v>161</v>
      </c>
      <c r="G36" s="11" t="s">
        <v>36</v>
      </c>
      <c r="H36" s="11" t="s">
        <v>43</v>
      </c>
      <c r="I36" s="11" t="s">
        <v>44</v>
      </c>
      <c r="J36" s="12" t="b">
        <f aca="false">TRUE()</f>
        <v>1</v>
      </c>
      <c r="K36" s="10"/>
    </row>
    <row r="37" customFormat="false" ht="22.35" hidden="false" customHeight="false" outlineLevel="0" collapsed="false">
      <c r="A37" s="7" t="n">
        <v>3</v>
      </c>
      <c r="B37" s="11" t="s">
        <v>162</v>
      </c>
      <c r="C37" s="10" t="s">
        <v>163</v>
      </c>
      <c r="D37" s="10" t="s">
        <v>164</v>
      </c>
      <c r="E37" s="11" t="s">
        <v>165</v>
      </c>
      <c r="F37" s="11" t="s">
        <v>166</v>
      </c>
      <c r="G37" s="11" t="s">
        <v>36</v>
      </c>
      <c r="H37" s="11" t="s">
        <v>43</v>
      </c>
      <c r="I37" s="11" t="s">
        <v>44</v>
      </c>
      <c r="J37" s="12" t="b">
        <f aca="false">TRUE()</f>
        <v>1</v>
      </c>
      <c r="K37" s="10"/>
    </row>
    <row r="38" customFormat="false" ht="22.35" hidden="false" customHeight="false" outlineLevel="0" collapsed="false">
      <c r="A38" s="7" t="n">
        <v>3</v>
      </c>
      <c r="B38" s="8" t="s">
        <v>167</v>
      </c>
      <c r="C38" s="9" t="s">
        <v>168</v>
      </c>
      <c r="D38" s="10" t="s">
        <v>169</v>
      </c>
      <c r="E38" s="11" t="s">
        <v>170</v>
      </c>
      <c r="F38" s="11" t="s">
        <v>171</v>
      </c>
      <c r="G38" s="11" t="s">
        <v>88</v>
      </c>
      <c r="H38" s="11" t="s">
        <v>43</v>
      </c>
      <c r="I38" s="11" t="s">
        <v>21</v>
      </c>
      <c r="J38" s="12" t="b">
        <f aca="false">TRUE()</f>
        <v>1</v>
      </c>
      <c r="K38" s="10"/>
    </row>
    <row r="39" customFormat="false" ht="15.75" hidden="false" customHeight="true" outlineLevel="0" collapsed="false">
      <c r="A39" s="4" t="n">
        <v>4</v>
      </c>
      <c r="B39" s="5"/>
      <c r="C39" s="6" t="s">
        <v>172</v>
      </c>
      <c r="D39" s="6"/>
      <c r="E39" s="6"/>
      <c r="F39" s="6"/>
      <c r="G39" s="6"/>
      <c r="H39" s="6"/>
      <c r="I39" s="6"/>
      <c r="J39" s="6"/>
      <c r="K39" s="6"/>
    </row>
    <row r="40" customFormat="false" ht="32.8" hidden="false" customHeight="false" outlineLevel="0" collapsed="false">
      <c r="A40" s="7" t="n">
        <v>4</v>
      </c>
      <c r="B40" s="11" t="s">
        <v>173</v>
      </c>
      <c r="C40" s="10" t="s">
        <v>174</v>
      </c>
      <c r="D40" s="10" t="s">
        <v>175</v>
      </c>
      <c r="E40" s="11" t="s">
        <v>176</v>
      </c>
      <c r="F40" s="11" t="s">
        <v>177</v>
      </c>
      <c r="G40" s="11" t="s">
        <v>36</v>
      </c>
      <c r="H40" s="11" t="s">
        <v>95</v>
      </c>
      <c r="I40" s="11" t="s">
        <v>44</v>
      </c>
      <c r="J40" s="12" t="b">
        <f aca="false">TRUE()</f>
        <v>1</v>
      </c>
      <c r="K40" s="10" t="s">
        <v>244</v>
      </c>
    </row>
    <row r="41" customFormat="false" ht="22.35" hidden="false" customHeight="false" outlineLevel="0" collapsed="false">
      <c r="A41" s="7" t="n">
        <v>4</v>
      </c>
      <c r="B41" s="8" t="s">
        <v>178</v>
      </c>
      <c r="C41" s="9" t="s">
        <v>179</v>
      </c>
      <c r="D41" s="10" t="s">
        <v>180</v>
      </c>
      <c r="E41" s="11" t="s">
        <v>181</v>
      </c>
      <c r="F41" s="11" t="s">
        <v>182</v>
      </c>
      <c r="G41" s="11" t="s">
        <v>19</v>
      </c>
      <c r="H41" s="11" t="s">
        <v>43</v>
      </c>
      <c r="I41" s="11" t="s">
        <v>183</v>
      </c>
      <c r="J41" s="12" t="b">
        <f aca="false">TRUE()</f>
        <v>1</v>
      </c>
      <c r="K41" s="10"/>
    </row>
    <row r="42" customFormat="false" ht="22.35" hidden="false" customHeight="false" outlineLevel="0" collapsed="false">
      <c r="A42" s="7" t="n">
        <v>4</v>
      </c>
      <c r="B42" s="11" t="s">
        <v>184</v>
      </c>
      <c r="C42" s="10" t="s">
        <v>185</v>
      </c>
      <c r="D42" s="10" t="s">
        <v>186</v>
      </c>
      <c r="E42" s="11" t="s">
        <v>187</v>
      </c>
      <c r="F42" s="11" t="s">
        <v>188</v>
      </c>
      <c r="G42" s="11" t="s">
        <v>36</v>
      </c>
      <c r="H42" s="11" t="s">
        <v>95</v>
      </c>
      <c r="I42" s="11" t="s">
        <v>189</v>
      </c>
      <c r="J42" s="12" t="b">
        <f aca="false">TRUE()</f>
        <v>1</v>
      </c>
      <c r="K42" s="10" t="s">
        <v>245</v>
      </c>
    </row>
    <row r="43" customFormat="false" ht="32.8" hidden="false" customHeight="false" outlineLevel="0" collapsed="false">
      <c r="A43" s="7" t="n">
        <v>4</v>
      </c>
      <c r="B43" s="11" t="s">
        <v>190</v>
      </c>
      <c r="C43" s="10" t="s">
        <v>191</v>
      </c>
      <c r="D43" s="10" t="s">
        <v>192</v>
      </c>
      <c r="E43" s="11" t="s">
        <v>193</v>
      </c>
      <c r="F43" s="11" t="s">
        <v>194</v>
      </c>
      <c r="G43" s="11" t="s">
        <v>19</v>
      </c>
      <c r="H43" s="11" t="s">
        <v>89</v>
      </c>
      <c r="I43" s="11" t="s">
        <v>183</v>
      </c>
      <c r="J43" s="12" t="b">
        <f aca="false">TRUE()</f>
        <v>1</v>
      </c>
      <c r="K43" s="10" t="s">
        <v>246</v>
      </c>
    </row>
    <row r="44" customFormat="false" ht="22.35" hidden="false" customHeight="false" outlineLevel="0" collapsed="false">
      <c r="A44" s="7" t="n">
        <v>4</v>
      </c>
      <c r="B44" s="8" t="s">
        <v>195</v>
      </c>
      <c r="C44" s="9" t="s">
        <v>196</v>
      </c>
      <c r="D44" s="10" t="s">
        <v>197</v>
      </c>
      <c r="E44" s="11" t="s">
        <v>198</v>
      </c>
      <c r="F44" s="11" t="s">
        <v>199</v>
      </c>
      <c r="G44" s="11" t="s">
        <v>36</v>
      </c>
      <c r="H44" s="11" t="s">
        <v>200</v>
      </c>
      <c r="I44" s="11" t="s">
        <v>183</v>
      </c>
      <c r="J44" s="12" t="b">
        <f aca="false">TRUE()</f>
        <v>1</v>
      </c>
      <c r="K44" s="10"/>
    </row>
    <row r="45" customFormat="false" ht="15.75" hidden="false" customHeight="true" outlineLevel="0" collapsed="false">
      <c r="A45" s="4" t="n">
        <v>5</v>
      </c>
      <c r="B45" s="5"/>
      <c r="C45" s="6" t="s">
        <v>201</v>
      </c>
      <c r="D45" s="6"/>
      <c r="E45" s="6"/>
      <c r="F45" s="6"/>
      <c r="G45" s="6"/>
      <c r="H45" s="6"/>
      <c r="I45" s="6"/>
      <c r="J45" s="6"/>
      <c r="K45" s="6"/>
    </row>
    <row r="46" customFormat="false" ht="22.35" hidden="false" customHeight="false" outlineLevel="0" collapsed="false">
      <c r="A46" s="7" t="n">
        <v>5</v>
      </c>
      <c r="B46" s="8" t="s">
        <v>202</v>
      </c>
      <c r="C46" s="9" t="s">
        <v>203</v>
      </c>
      <c r="D46" s="10" t="s">
        <v>204</v>
      </c>
      <c r="E46" s="11" t="s">
        <v>205</v>
      </c>
      <c r="F46" s="11" t="s">
        <v>206</v>
      </c>
      <c r="G46" s="11" t="s">
        <v>19</v>
      </c>
      <c r="H46" s="11" t="s">
        <v>95</v>
      </c>
      <c r="I46" s="11" t="s">
        <v>183</v>
      </c>
      <c r="J46" s="12" t="b">
        <f aca="false">TRUE()</f>
        <v>1</v>
      </c>
      <c r="K46" s="10"/>
    </row>
    <row r="47" customFormat="false" ht="22.35" hidden="false" customHeight="false" outlineLevel="0" collapsed="false">
      <c r="A47" s="7" t="n">
        <v>5</v>
      </c>
      <c r="B47" s="8" t="s">
        <v>207</v>
      </c>
      <c r="C47" s="9" t="s">
        <v>208</v>
      </c>
      <c r="D47" s="10" t="s">
        <v>209</v>
      </c>
      <c r="E47" s="11" t="s">
        <v>210</v>
      </c>
      <c r="F47" s="11" t="s">
        <v>211</v>
      </c>
      <c r="G47" s="11" t="s">
        <v>36</v>
      </c>
      <c r="H47" s="11" t="s">
        <v>200</v>
      </c>
      <c r="I47" s="11" t="s">
        <v>183</v>
      </c>
      <c r="J47" s="12" t="b">
        <f aca="false">TRUE()</f>
        <v>1</v>
      </c>
      <c r="K47" s="10" t="s">
        <v>247</v>
      </c>
    </row>
    <row r="48" customFormat="false" ht="22.35" hidden="false" customHeight="false" outlineLevel="0" collapsed="false">
      <c r="A48" s="7" t="n">
        <v>5</v>
      </c>
      <c r="B48" s="8" t="s">
        <v>212</v>
      </c>
      <c r="C48" s="9" t="s">
        <v>213</v>
      </c>
      <c r="D48" s="10" t="s">
        <v>214</v>
      </c>
      <c r="E48" s="11" t="s">
        <v>215</v>
      </c>
      <c r="F48" s="11" t="s">
        <v>216</v>
      </c>
      <c r="G48" s="11" t="s">
        <v>19</v>
      </c>
      <c r="H48" s="11" t="s">
        <v>200</v>
      </c>
      <c r="I48" s="11" t="s">
        <v>183</v>
      </c>
      <c r="J48" s="12" t="b">
        <f aca="false">TRUE()</f>
        <v>1</v>
      </c>
      <c r="K48" s="10"/>
    </row>
    <row r="49" customFormat="false" ht="15" hidden="false" customHeight="false" outlineLevel="0" collapsed="false">
      <c r="A49" s="7" t="n">
        <v>5</v>
      </c>
      <c r="B49" s="8" t="s">
        <v>217</v>
      </c>
      <c r="C49" s="9" t="s">
        <v>218</v>
      </c>
      <c r="D49" s="10" t="s">
        <v>219</v>
      </c>
      <c r="E49" s="11" t="s">
        <v>220</v>
      </c>
      <c r="F49" s="11" t="s">
        <v>216</v>
      </c>
      <c r="G49" s="11" t="s">
        <v>19</v>
      </c>
      <c r="H49" s="11" t="s">
        <v>200</v>
      </c>
      <c r="I49" s="11" t="s">
        <v>183</v>
      </c>
      <c r="J49" s="12" t="b">
        <f aca="false">TRUE()</f>
        <v>1</v>
      </c>
      <c r="K49" s="10"/>
    </row>
    <row r="50" customFormat="false" ht="22.35" hidden="false" customHeight="false" outlineLevel="0" collapsed="false">
      <c r="A50" s="7" t="n">
        <v>5</v>
      </c>
      <c r="B50" s="8" t="s">
        <v>221</v>
      </c>
      <c r="C50" s="9" t="s">
        <v>222</v>
      </c>
      <c r="D50" s="10" t="s">
        <v>223</v>
      </c>
      <c r="E50" s="11" t="s">
        <v>224</v>
      </c>
      <c r="F50" s="11" t="s">
        <v>225</v>
      </c>
      <c r="G50" s="11" t="s">
        <v>36</v>
      </c>
      <c r="H50" s="11" t="s">
        <v>200</v>
      </c>
      <c r="I50" s="11" t="s">
        <v>183</v>
      </c>
      <c r="J50" s="12" t="b">
        <f aca="false">TRUE()</f>
        <v>1</v>
      </c>
      <c r="K50" s="10"/>
    </row>
    <row r="51" customFormat="false" ht="22.35" hidden="false" customHeight="false" outlineLevel="0" collapsed="false">
      <c r="A51" s="7" t="n">
        <v>5</v>
      </c>
      <c r="B51" s="8" t="s">
        <v>226</v>
      </c>
      <c r="C51" s="9" t="s">
        <v>227</v>
      </c>
      <c r="D51" s="10" t="s">
        <v>228</v>
      </c>
      <c r="E51" s="11" t="s">
        <v>229</v>
      </c>
      <c r="F51" s="11" t="s">
        <v>230</v>
      </c>
      <c r="G51" s="11" t="s">
        <v>36</v>
      </c>
      <c r="H51" s="11" t="s">
        <v>200</v>
      </c>
      <c r="I51" s="11" t="s">
        <v>21</v>
      </c>
      <c r="J51" s="12" t="b">
        <f aca="false">TRUE()</f>
        <v>1</v>
      </c>
      <c r="K51" s="10"/>
    </row>
    <row r="52" customFormat="false" ht="22.35" hidden="false" customHeight="false" outlineLevel="0" collapsed="false">
      <c r="A52" s="7" t="n">
        <v>5</v>
      </c>
      <c r="B52" s="8" t="s">
        <v>231</v>
      </c>
      <c r="C52" s="9" t="s">
        <v>232</v>
      </c>
      <c r="D52" s="10" t="s">
        <v>233</v>
      </c>
      <c r="E52" s="11" t="s">
        <v>234</v>
      </c>
      <c r="F52" s="11" t="s">
        <v>235</v>
      </c>
      <c r="G52" s="11" t="s">
        <v>19</v>
      </c>
      <c r="H52" s="11" t="s">
        <v>200</v>
      </c>
      <c r="I52" s="11" t="s">
        <v>183</v>
      </c>
      <c r="J52" s="12" t="b">
        <f aca="false">TRUE()</f>
        <v>1</v>
      </c>
      <c r="K52" s="10"/>
    </row>
    <row r="53" customFormat="false" ht="22.35" hidden="false" customHeight="false" outlineLevel="0" collapsed="false">
      <c r="A53" s="7" t="n">
        <v>5</v>
      </c>
      <c r="B53" s="8" t="s">
        <v>236</v>
      </c>
      <c r="C53" s="9" t="s">
        <v>237</v>
      </c>
      <c r="D53" s="10" t="s">
        <v>238</v>
      </c>
      <c r="E53" s="11" t="s">
        <v>239</v>
      </c>
      <c r="F53" s="11" t="s">
        <v>50</v>
      </c>
      <c r="G53" s="11" t="s">
        <v>19</v>
      </c>
      <c r="H53" s="11" t="s">
        <v>20</v>
      </c>
      <c r="I53" s="11" t="s">
        <v>21</v>
      </c>
      <c r="J53" s="12" t="b">
        <f aca="false">TRUE()</f>
        <v>1</v>
      </c>
      <c r="K53" s="10"/>
    </row>
  </sheetData>
  <mergeCells count="7">
    <mergeCell ref="A1:K1"/>
    <mergeCell ref="A2:K2"/>
    <mergeCell ref="C5:K5"/>
    <mergeCell ref="C11:K11"/>
    <mergeCell ref="C23:K23"/>
    <mergeCell ref="C39:K39"/>
    <mergeCell ref="C45:K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9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46" min="8" style="0" width="2.6"/>
  </cols>
  <sheetData>
    <row r="1" customFormat="false" ht="21.75" hidden="false" customHeight="true" outlineLevel="0" collapsed="false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5" hidden="false" customHeight="true" outlineLevel="0" collapsed="false">
      <c r="A2" s="13" t="s">
        <v>249</v>
      </c>
      <c r="B2" s="14" t="s">
        <v>250</v>
      </c>
      <c r="C2" s="14"/>
      <c r="D2" s="14"/>
      <c r="E2" s="14"/>
      <c r="F2" s="14"/>
      <c r="G2" s="14"/>
    </row>
    <row r="3" customFormat="false" ht="22.35" hidden="false" customHeight="true" outlineLevel="0" collapsed="false">
      <c r="A3" s="13" t="s">
        <v>251</v>
      </c>
      <c r="B3" s="14" t="s">
        <v>252</v>
      </c>
      <c r="C3" s="14"/>
      <c r="D3" s="14"/>
      <c r="E3" s="14"/>
      <c r="F3" s="14"/>
      <c r="G3" s="14"/>
    </row>
    <row r="4" customFormat="false" ht="15" hidden="false" customHeight="true" outlineLevel="0" collapsed="false">
      <c r="A4" s="13" t="s">
        <v>253</v>
      </c>
      <c r="B4" s="14" t="s">
        <v>254</v>
      </c>
      <c r="C4" s="14"/>
      <c r="D4" s="14"/>
      <c r="E4" s="14"/>
      <c r="F4" s="14"/>
      <c r="G4" s="14"/>
    </row>
    <row r="5" customFormat="false" ht="15" hidden="false" customHeight="true" outlineLevel="0" collapsed="false">
      <c r="A5" s="13" t="s">
        <v>255</v>
      </c>
      <c r="B5" s="14" t="s">
        <v>256</v>
      </c>
      <c r="C5" s="14"/>
      <c r="D5" s="14"/>
      <c r="E5" s="14"/>
      <c r="F5" s="14"/>
      <c r="G5" s="14"/>
    </row>
    <row r="7" customFormat="false" ht="15.75" hidden="false" customHeight="true" outlineLevel="0" collapsed="false">
      <c r="A7" s="3" t="s">
        <v>3</v>
      </c>
      <c r="B7" s="3" t="s">
        <v>4</v>
      </c>
      <c r="C7" s="3" t="s">
        <v>9</v>
      </c>
      <c r="D7" s="3" t="s">
        <v>257</v>
      </c>
      <c r="E7" s="3" t="s">
        <v>258</v>
      </c>
      <c r="F7" s="3" t="s">
        <v>259</v>
      </c>
      <c r="G7" s="3" t="s">
        <v>260</v>
      </c>
      <c r="H7" s="3" t="s">
        <v>261</v>
      </c>
      <c r="I7" s="3"/>
      <c r="J7" s="3"/>
      <c r="K7" s="3"/>
      <c r="L7" s="3"/>
      <c r="M7" s="3"/>
      <c r="N7" s="3"/>
      <c r="O7" s="3" t="s">
        <v>262</v>
      </c>
      <c r="P7" s="3"/>
      <c r="Q7" s="3"/>
      <c r="R7" s="3"/>
      <c r="S7" s="3"/>
      <c r="T7" s="3"/>
      <c r="U7" s="3"/>
      <c r="V7" s="3" t="s">
        <v>263</v>
      </c>
      <c r="W7" s="3"/>
      <c r="X7" s="3"/>
      <c r="Y7" s="3"/>
      <c r="Z7" s="3"/>
      <c r="AA7" s="3"/>
      <c r="AB7" s="3"/>
      <c r="AC7" s="3" t="s">
        <v>264</v>
      </c>
      <c r="AD7" s="3"/>
      <c r="AE7" s="3"/>
      <c r="AF7" s="3"/>
      <c r="AG7" s="3"/>
      <c r="AH7" s="3"/>
      <c r="AI7" s="3"/>
      <c r="AJ7" s="3" t="s">
        <v>265</v>
      </c>
      <c r="AK7" s="3"/>
      <c r="AL7" s="3"/>
      <c r="AM7" s="3"/>
      <c r="AN7" s="3"/>
      <c r="AO7" s="3"/>
      <c r="AP7" s="3"/>
      <c r="AQ7" s="3" t="s">
        <v>266</v>
      </c>
      <c r="AR7" s="3"/>
      <c r="AS7" s="3"/>
      <c r="AT7" s="3"/>
    </row>
    <row r="8" customFormat="false" ht="13.5" hidden="false" customHeight="true" outlineLevel="0" collapsed="false">
      <c r="A8" s="3"/>
      <c r="B8" s="3"/>
      <c r="C8" s="3"/>
      <c r="D8" s="3"/>
      <c r="E8" s="3"/>
      <c r="F8" s="3"/>
      <c r="G8" s="3"/>
      <c r="H8" s="15" t="n">
        <v>13</v>
      </c>
      <c r="I8" s="15" t="n">
        <v>14</v>
      </c>
      <c r="J8" s="15" t="n">
        <v>15</v>
      </c>
      <c r="K8" s="15" t="n">
        <v>16</v>
      </c>
      <c r="L8" s="15" t="n">
        <v>17</v>
      </c>
      <c r="M8" s="16" t="n">
        <v>18</v>
      </c>
      <c r="N8" s="16" t="n">
        <v>19</v>
      </c>
      <c r="O8" s="15" t="n">
        <v>20</v>
      </c>
      <c r="P8" s="15" t="n">
        <v>21</v>
      </c>
      <c r="Q8" s="15" t="n">
        <v>22</v>
      </c>
      <c r="R8" s="15" t="n">
        <v>23</v>
      </c>
      <c r="S8" s="15" t="n">
        <v>24</v>
      </c>
      <c r="T8" s="16" t="n">
        <v>25</v>
      </c>
      <c r="U8" s="16" t="n">
        <v>26</v>
      </c>
      <c r="V8" s="15" t="n">
        <v>27</v>
      </c>
      <c r="W8" s="15" t="n">
        <v>28</v>
      </c>
      <c r="X8" s="15" t="n">
        <v>29</v>
      </c>
      <c r="Y8" s="15" t="n">
        <v>30</v>
      </c>
      <c r="Z8" s="15" t="n">
        <v>31</v>
      </c>
      <c r="AA8" s="16" t="n">
        <v>1</v>
      </c>
      <c r="AB8" s="16" t="n">
        <v>2</v>
      </c>
      <c r="AC8" s="15" t="n">
        <v>3</v>
      </c>
      <c r="AD8" s="15" t="n">
        <v>4</v>
      </c>
      <c r="AE8" s="15" t="n">
        <v>5</v>
      </c>
      <c r="AF8" s="15" t="n">
        <v>6</v>
      </c>
      <c r="AG8" s="15" t="n">
        <v>7</v>
      </c>
      <c r="AH8" s="16" t="n">
        <v>8</v>
      </c>
      <c r="AI8" s="16" t="n">
        <v>9</v>
      </c>
      <c r="AJ8" s="15" t="n">
        <v>10</v>
      </c>
      <c r="AK8" s="15" t="n">
        <v>11</v>
      </c>
      <c r="AL8" s="15" t="n">
        <v>12</v>
      </c>
      <c r="AM8" s="15" t="n">
        <v>13</v>
      </c>
      <c r="AN8" s="15" t="n">
        <v>14</v>
      </c>
      <c r="AO8" s="16" t="n">
        <v>15</v>
      </c>
      <c r="AP8" s="16" t="n">
        <v>16</v>
      </c>
      <c r="AQ8" s="15" t="n">
        <v>17</v>
      </c>
      <c r="AR8" s="15" t="n">
        <v>18</v>
      </c>
      <c r="AS8" s="15" t="n">
        <v>19</v>
      </c>
      <c r="AT8" s="15" t="n">
        <v>20</v>
      </c>
    </row>
    <row r="9" customFormat="false" ht="24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true" outlineLevel="0" collapsed="false">
      <c r="A10" s="17" t="s">
        <v>13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customFormat="false" ht="27" hidden="false" customHeight="true" outlineLevel="0" collapsed="false">
      <c r="A11" s="18" t="s">
        <v>14</v>
      </c>
      <c r="B11" s="19" t="s">
        <v>15</v>
      </c>
      <c r="C11" s="20" t="s">
        <v>20</v>
      </c>
      <c r="D11" s="20" t="s">
        <v>256</v>
      </c>
      <c r="E11" s="20" t="s">
        <v>267</v>
      </c>
      <c r="F11" s="20" t="n">
        <v>1</v>
      </c>
      <c r="G11" s="21" t="n">
        <v>100</v>
      </c>
      <c r="H11" s="22"/>
      <c r="I11" s="22"/>
    </row>
    <row r="12" customFormat="false" ht="27" hidden="false" customHeight="true" outlineLevel="0" collapsed="false">
      <c r="A12" s="20" t="s">
        <v>22</v>
      </c>
      <c r="B12" s="23" t="s">
        <v>23</v>
      </c>
      <c r="C12" s="20" t="s">
        <v>20</v>
      </c>
      <c r="D12" s="20" t="s">
        <v>267</v>
      </c>
      <c r="E12" s="20" t="s">
        <v>268</v>
      </c>
      <c r="F12" s="20" t="n">
        <v>1</v>
      </c>
      <c r="G12" s="21" t="n">
        <v>100</v>
      </c>
      <c r="I12" s="24"/>
      <c r="J12" s="24"/>
    </row>
    <row r="13" customFormat="false" ht="27" hidden="false" customHeight="true" outlineLevel="0" collapsed="false">
      <c r="A13" s="20" t="s">
        <v>27</v>
      </c>
      <c r="B13" s="23" t="s">
        <v>28</v>
      </c>
      <c r="C13" s="20" t="s">
        <v>20</v>
      </c>
      <c r="D13" s="20" t="s">
        <v>268</v>
      </c>
      <c r="E13" s="20" t="s">
        <v>269</v>
      </c>
      <c r="F13" s="20" t="n">
        <v>1</v>
      </c>
      <c r="G13" s="21" t="n">
        <v>100</v>
      </c>
      <c r="J13" s="24"/>
      <c r="K13" s="24"/>
    </row>
    <row r="14" customFormat="false" ht="27" hidden="false" customHeight="true" outlineLevel="0" collapsed="false">
      <c r="A14" s="18" t="s">
        <v>31</v>
      </c>
      <c r="B14" s="19" t="s">
        <v>32</v>
      </c>
      <c r="C14" s="20" t="s">
        <v>37</v>
      </c>
      <c r="D14" s="20" t="s">
        <v>267</v>
      </c>
      <c r="E14" s="20" t="s">
        <v>269</v>
      </c>
      <c r="F14" s="20" t="n">
        <v>2</v>
      </c>
      <c r="G14" s="21" t="n">
        <v>100</v>
      </c>
      <c r="I14" s="22"/>
      <c r="J14" s="22"/>
      <c r="K14" s="22"/>
    </row>
    <row r="15" customFormat="false" ht="27" hidden="false" customHeight="true" outlineLevel="0" collapsed="false">
      <c r="A15" s="20" t="s">
        <v>38</v>
      </c>
      <c r="B15" s="23" t="s">
        <v>39</v>
      </c>
      <c r="C15" s="20" t="s">
        <v>43</v>
      </c>
      <c r="D15" s="20" t="s">
        <v>267</v>
      </c>
      <c r="E15" s="20" t="s">
        <v>268</v>
      </c>
      <c r="F15" s="20" t="n">
        <v>1</v>
      </c>
      <c r="G15" s="21" t="n">
        <v>100</v>
      </c>
      <c r="I15" s="24"/>
      <c r="J15" s="24"/>
    </row>
    <row r="16" customFormat="false" ht="15" hidden="false" customHeight="true" outlineLevel="0" collapsed="false">
      <c r="A16" s="17" t="s">
        <v>45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customFormat="false" ht="27" hidden="false" customHeight="true" outlineLevel="0" collapsed="false">
      <c r="A17" s="20" t="s">
        <v>46</v>
      </c>
      <c r="B17" s="23" t="s">
        <v>47</v>
      </c>
      <c r="C17" s="20" t="s">
        <v>20</v>
      </c>
      <c r="D17" s="20" t="s">
        <v>269</v>
      </c>
      <c r="E17" s="20" t="s">
        <v>270</v>
      </c>
      <c r="F17" s="20" t="n">
        <v>1</v>
      </c>
      <c r="G17" s="21" t="n">
        <v>100</v>
      </c>
      <c r="K17" s="24"/>
      <c r="L17" s="24"/>
    </row>
    <row r="18" customFormat="false" ht="27" hidden="false" customHeight="true" outlineLevel="0" collapsed="false">
      <c r="A18" s="20" t="s">
        <v>51</v>
      </c>
      <c r="B18" s="23" t="s">
        <v>52</v>
      </c>
      <c r="C18" s="20" t="s">
        <v>20</v>
      </c>
      <c r="D18" s="20" t="s">
        <v>270</v>
      </c>
      <c r="E18" s="20" t="s">
        <v>271</v>
      </c>
      <c r="F18" s="20" t="n">
        <v>1</v>
      </c>
      <c r="G18" s="21" t="n">
        <v>100</v>
      </c>
      <c r="L18" s="24"/>
      <c r="M18" s="24"/>
    </row>
    <row r="19" customFormat="false" ht="27" hidden="false" customHeight="true" outlineLevel="0" collapsed="false">
      <c r="A19" s="20" t="s">
        <v>55</v>
      </c>
      <c r="B19" s="23" t="s">
        <v>56</v>
      </c>
      <c r="C19" s="20" t="s">
        <v>20</v>
      </c>
      <c r="D19" s="20" t="s">
        <v>271</v>
      </c>
      <c r="E19" s="20" t="s">
        <v>272</v>
      </c>
      <c r="F19" s="20" t="n">
        <v>1</v>
      </c>
      <c r="G19" s="21" t="n">
        <v>100</v>
      </c>
      <c r="M19" s="24"/>
      <c r="N19" s="24"/>
    </row>
    <row r="20" customFormat="false" ht="27" hidden="false" customHeight="true" outlineLevel="0" collapsed="false">
      <c r="A20" s="20" t="s">
        <v>59</v>
      </c>
      <c r="B20" s="23" t="s">
        <v>60</v>
      </c>
      <c r="C20" s="20" t="s">
        <v>20</v>
      </c>
      <c r="D20" s="20" t="s">
        <v>271</v>
      </c>
      <c r="E20" s="20" t="s">
        <v>272</v>
      </c>
      <c r="F20" s="20" t="n">
        <v>1</v>
      </c>
      <c r="G20" s="21" t="n">
        <v>100</v>
      </c>
      <c r="M20" s="24"/>
      <c r="N20" s="24"/>
    </row>
    <row r="21" customFormat="false" ht="27" hidden="false" customHeight="true" outlineLevel="0" collapsed="false">
      <c r="A21" s="20" t="s">
        <v>63</v>
      </c>
      <c r="B21" s="23" t="s">
        <v>64</v>
      </c>
      <c r="C21" s="20" t="s">
        <v>20</v>
      </c>
      <c r="D21" s="20" t="s">
        <v>270</v>
      </c>
      <c r="E21" s="20" t="s">
        <v>271</v>
      </c>
      <c r="F21" s="20" t="n">
        <v>1</v>
      </c>
      <c r="G21" s="21" t="n">
        <v>100</v>
      </c>
      <c r="L21" s="24"/>
      <c r="M21" s="24"/>
    </row>
    <row r="22" customFormat="false" ht="27" hidden="false" customHeight="true" outlineLevel="0" collapsed="false">
      <c r="A22" s="20" t="s">
        <v>67</v>
      </c>
      <c r="B22" s="23" t="s">
        <v>68</v>
      </c>
      <c r="C22" s="20" t="s">
        <v>20</v>
      </c>
      <c r="D22" s="20" t="s">
        <v>270</v>
      </c>
      <c r="E22" s="20" t="s">
        <v>271</v>
      </c>
      <c r="F22" s="20" t="n">
        <v>1</v>
      </c>
      <c r="G22" s="21" t="n">
        <v>100</v>
      </c>
      <c r="L22" s="24"/>
      <c r="M22" s="24"/>
    </row>
    <row r="23" customFormat="false" ht="27" hidden="false" customHeight="true" outlineLevel="0" collapsed="false">
      <c r="A23" s="20" t="s">
        <v>71</v>
      </c>
      <c r="B23" s="23" t="s">
        <v>72</v>
      </c>
      <c r="C23" s="20" t="s">
        <v>20</v>
      </c>
      <c r="D23" s="20" t="s">
        <v>270</v>
      </c>
      <c r="E23" s="20" t="s">
        <v>271</v>
      </c>
      <c r="F23" s="20" t="n">
        <v>1</v>
      </c>
      <c r="G23" s="21" t="n">
        <v>100</v>
      </c>
      <c r="L23" s="24"/>
      <c r="M23" s="24"/>
    </row>
    <row r="24" customFormat="false" ht="27" hidden="false" customHeight="true" outlineLevel="0" collapsed="false">
      <c r="A24" s="20" t="s">
        <v>75</v>
      </c>
      <c r="B24" s="23" t="s">
        <v>76</v>
      </c>
      <c r="C24" s="20" t="s">
        <v>20</v>
      </c>
      <c r="D24" s="20" t="s">
        <v>270</v>
      </c>
      <c r="E24" s="20" t="s">
        <v>271</v>
      </c>
      <c r="F24" s="20" t="n">
        <v>1</v>
      </c>
      <c r="G24" s="21" t="n">
        <v>100</v>
      </c>
      <c r="L24" s="24"/>
      <c r="M24" s="24"/>
    </row>
    <row r="25" customFormat="false" ht="27" hidden="false" customHeight="true" outlineLevel="0" collapsed="false">
      <c r="A25" s="20" t="s">
        <v>79</v>
      </c>
      <c r="B25" s="23" t="s">
        <v>80</v>
      </c>
      <c r="C25" s="20" t="s">
        <v>20</v>
      </c>
      <c r="D25" s="20" t="s">
        <v>272</v>
      </c>
      <c r="E25" s="20" t="s">
        <v>273</v>
      </c>
      <c r="F25" s="20" t="n">
        <v>1</v>
      </c>
      <c r="G25" s="21" t="n">
        <v>100</v>
      </c>
      <c r="N25" s="24"/>
      <c r="O25" s="24"/>
    </row>
    <row r="26" customFormat="false" ht="27" hidden="false" customHeight="true" outlineLevel="0" collapsed="false">
      <c r="A26" s="18" t="s">
        <v>83</v>
      </c>
      <c r="B26" s="19" t="s">
        <v>84</v>
      </c>
      <c r="C26" s="20" t="s">
        <v>89</v>
      </c>
      <c r="D26" s="20" t="s">
        <v>269</v>
      </c>
      <c r="E26" s="20" t="s">
        <v>272</v>
      </c>
      <c r="F26" s="20" t="n">
        <v>3</v>
      </c>
      <c r="G26" s="21" t="n">
        <v>100</v>
      </c>
      <c r="K26" s="22"/>
      <c r="L26" s="22"/>
      <c r="M26" s="22"/>
      <c r="N26" s="22"/>
    </row>
    <row r="27" customFormat="false" ht="27" hidden="false" customHeight="true" outlineLevel="0" collapsed="false">
      <c r="A27" s="20" t="s">
        <v>90</v>
      </c>
      <c r="B27" s="23" t="s">
        <v>91</v>
      </c>
      <c r="C27" s="20" t="s">
        <v>95</v>
      </c>
      <c r="D27" s="20" t="s">
        <v>269</v>
      </c>
      <c r="E27" s="20" t="s">
        <v>271</v>
      </c>
      <c r="F27" s="20" t="n">
        <v>2</v>
      </c>
      <c r="G27" s="21" t="n">
        <v>100</v>
      </c>
      <c r="K27" s="24"/>
      <c r="L27" s="24"/>
      <c r="M27" s="24"/>
    </row>
    <row r="28" customFormat="false" ht="15" hidden="false" customHeight="true" outlineLevel="0" collapsed="false">
      <c r="A28" s="17" t="s">
        <v>96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customFormat="false" ht="27" hidden="false" customHeight="true" outlineLevel="0" collapsed="false">
      <c r="A29" s="18" t="s">
        <v>97</v>
      </c>
      <c r="B29" s="19" t="s">
        <v>98</v>
      </c>
      <c r="C29" s="20" t="s">
        <v>89</v>
      </c>
      <c r="D29" s="20" t="s">
        <v>272</v>
      </c>
      <c r="E29" s="20" t="s">
        <v>274</v>
      </c>
      <c r="F29" s="20" t="n">
        <v>4</v>
      </c>
      <c r="G29" s="21" t="n">
        <v>100</v>
      </c>
      <c r="N29" s="22"/>
      <c r="O29" s="22"/>
      <c r="P29" s="22"/>
      <c r="Q29" s="22"/>
      <c r="R29" s="22"/>
    </row>
    <row r="30" customFormat="false" ht="27" hidden="false" customHeight="true" outlineLevel="0" collapsed="false">
      <c r="A30" s="20" t="s">
        <v>103</v>
      </c>
      <c r="B30" s="23" t="s">
        <v>104</v>
      </c>
      <c r="C30" s="20" t="s">
        <v>95</v>
      </c>
      <c r="D30" s="20" t="s">
        <v>271</v>
      </c>
      <c r="E30" s="20" t="s">
        <v>275</v>
      </c>
      <c r="F30" s="20" t="n">
        <v>3</v>
      </c>
      <c r="G30" s="21" t="n">
        <v>100</v>
      </c>
      <c r="M30" s="24"/>
      <c r="N30" s="24"/>
      <c r="O30" s="24"/>
      <c r="P30" s="24"/>
    </row>
    <row r="31" customFormat="false" ht="27" hidden="false" customHeight="true" outlineLevel="0" collapsed="false">
      <c r="A31" s="18" t="s">
        <v>108</v>
      </c>
      <c r="B31" s="19" t="s">
        <v>109</v>
      </c>
      <c r="C31" s="20" t="s">
        <v>95</v>
      </c>
      <c r="D31" s="20" t="s">
        <v>274</v>
      </c>
      <c r="E31" s="20" t="s">
        <v>276</v>
      </c>
      <c r="F31" s="20" t="n">
        <v>3</v>
      </c>
      <c r="G31" s="21" t="n">
        <v>100</v>
      </c>
      <c r="R31" s="22"/>
      <c r="S31" s="22"/>
      <c r="T31" s="22"/>
      <c r="U31" s="22"/>
    </row>
    <row r="32" customFormat="false" ht="27" hidden="false" customHeight="true" outlineLevel="0" collapsed="false">
      <c r="A32" s="20" t="s">
        <v>113</v>
      </c>
      <c r="B32" s="23" t="s">
        <v>114</v>
      </c>
      <c r="C32" s="20" t="s">
        <v>89</v>
      </c>
      <c r="D32" s="20" t="s">
        <v>274</v>
      </c>
      <c r="E32" s="20" t="s">
        <v>276</v>
      </c>
      <c r="F32" s="20" t="n">
        <v>3</v>
      </c>
      <c r="G32" s="21" t="n">
        <v>100</v>
      </c>
      <c r="R32" s="24"/>
      <c r="S32" s="24"/>
      <c r="T32" s="24"/>
      <c r="U32" s="24"/>
    </row>
    <row r="33" customFormat="false" ht="27" hidden="false" customHeight="true" outlineLevel="0" collapsed="false">
      <c r="A33" s="18" t="s">
        <v>118</v>
      </c>
      <c r="B33" s="19" t="s">
        <v>119</v>
      </c>
      <c r="C33" s="20" t="s">
        <v>95</v>
      </c>
      <c r="D33" s="20" t="s">
        <v>276</v>
      </c>
      <c r="E33" s="20" t="s">
        <v>277</v>
      </c>
      <c r="F33" s="20" t="n">
        <v>2</v>
      </c>
      <c r="G33" s="21" t="n">
        <v>100</v>
      </c>
      <c r="U33" s="22"/>
      <c r="V33" s="22"/>
      <c r="W33" s="22"/>
    </row>
    <row r="34" customFormat="false" ht="27" hidden="false" customHeight="true" outlineLevel="0" collapsed="false">
      <c r="A34" s="20" t="s">
        <v>123</v>
      </c>
      <c r="B34" s="23" t="s">
        <v>124</v>
      </c>
      <c r="C34" s="20" t="s">
        <v>95</v>
      </c>
      <c r="D34" s="20" t="s">
        <v>275</v>
      </c>
      <c r="E34" s="20" t="s">
        <v>274</v>
      </c>
      <c r="F34" s="20" t="n">
        <v>2</v>
      </c>
      <c r="G34" s="21" t="n">
        <v>100</v>
      </c>
      <c r="P34" s="24"/>
      <c r="Q34" s="24"/>
      <c r="R34" s="24"/>
    </row>
    <row r="35" customFormat="false" ht="27" hidden="false" customHeight="true" outlineLevel="0" collapsed="false">
      <c r="A35" s="20" t="s">
        <v>128</v>
      </c>
      <c r="B35" s="23" t="s">
        <v>129</v>
      </c>
      <c r="C35" s="20" t="s">
        <v>95</v>
      </c>
      <c r="D35" s="20" t="s">
        <v>275</v>
      </c>
      <c r="E35" s="20" t="s">
        <v>274</v>
      </c>
      <c r="F35" s="20" t="n">
        <v>2</v>
      </c>
      <c r="G35" s="21" t="n">
        <v>100</v>
      </c>
      <c r="P35" s="24"/>
      <c r="Q35" s="24"/>
      <c r="R35" s="24"/>
    </row>
    <row r="36" customFormat="false" ht="27" hidden="false" customHeight="true" outlineLevel="0" collapsed="false">
      <c r="A36" s="20" t="s">
        <v>132</v>
      </c>
      <c r="B36" s="23" t="s">
        <v>133</v>
      </c>
      <c r="C36" s="20" t="s">
        <v>95</v>
      </c>
      <c r="D36" s="20" t="s">
        <v>271</v>
      </c>
      <c r="E36" s="20" t="s">
        <v>273</v>
      </c>
      <c r="F36" s="20" t="n">
        <v>2</v>
      </c>
      <c r="G36" s="21" t="n">
        <v>100</v>
      </c>
      <c r="M36" s="24"/>
      <c r="N36" s="24"/>
      <c r="O36" s="24"/>
    </row>
    <row r="37" customFormat="false" ht="27" hidden="false" customHeight="true" outlineLevel="0" collapsed="false">
      <c r="A37" s="20" t="s">
        <v>137</v>
      </c>
      <c r="B37" s="23" t="s">
        <v>138</v>
      </c>
      <c r="C37" s="20" t="s">
        <v>43</v>
      </c>
      <c r="D37" s="20" t="s">
        <v>268</v>
      </c>
      <c r="E37" s="20" t="s">
        <v>270</v>
      </c>
      <c r="F37" s="20" t="n">
        <v>2</v>
      </c>
      <c r="G37" s="21" t="n">
        <v>100</v>
      </c>
      <c r="J37" s="24"/>
      <c r="K37" s="24"/>
      <c r="L37" s="24"/>
    </row>
    <row r="38" customFormat="false" ht="27" hidden="false" customHeight="true" outlineLevel="0" collapsed="false">
      <c r="A38" s="20" t="s">
        <v>142</v>
      </c>
      <c r="B38" s="23" t="s">
        <v>143</v>
      </c>
      <c r="C38" s="20" t="s">
        <v>43</v>
      </c>
      <c r="D38" s="20" t="s">
        <v>275</v>
      </c>
      <c r="E38" s="20" t="s">
        <v>274</v>
      </c>
      <c r="F38" s="20" t="n">
        <v>2</v>
      </c>
      <c r="G38" s="21" t="n">
        <v>100</v>
      </c>
      <c r="P38" s="24"/>
      <c r="Q38" s="24"/>
      <c r="R38" s="24"/>
    </row>
    <row r="39" customFormat="false" ht="27" hidden="false" customHeight="true" outlineLevel="0" collapsed="false">
      <c r="A39" s="20" t="s">
        <v>147</v>
      </c>
      <c r="B39" s="23" t="s">
        <v>148</v>
      </c>
      <c r="C39" s="20" t="s">
        <v>43</v>
      </c>
      <c r="D39" s="20" t="s">
        <v>274</v>
      </c>
      <c r="E39" s="20" t="s">
        <v>276</v>
      </c>
      <c r="F39" s="20" t="n">
        <v>3</v>
      </c>
      <c r="G39" s="21" t="n">
        <v>100</v>
      </c>
      <c r="R39" s="24"/>
      <c r="S39" s="24"/>
      <c r="T39" s="24"/>
      <c r="U39" s="24"/>
    </row>
    <row r="40" customFormat="false" ht="27" hidden="false" customHeight="true" outlineLevel="0" collapsed="false">
      <c r="A40" s="20" t="s">
        <v>152</v>
      </c>
      <c r="B40" s="23" t="s">
        <v>153</v>
      </c>
      <c r="C40" s="20" t="s">
        <v>43</v>
      </c>
      <c r="D40" s="20" t="s">
        <v>276</v>
      </c>
      <c r="E40" s="20" t="s">
        <v>278</v>
      </c>
      <c r="F40" s="20" t="n">
        <v>3</v>
      </c>
      <c r="G40" s="21" t="n">
        <v>100</v>
      </c>
      <c r="U40" s="24"/>
      <c r="V40" s="24"/>
      <c r="W40" s="24"/>
      <c r="X40" s="24"/>
    </row>
    <row r="41" customFormat="false" ht="27" hidden="false" customHeight="true" outlineLevel="0" collapsed="false">
      <c r="A41" s="18" t="s">
        <v>157</v>
      </c>
      <c r="B41" s="19" t="s">
        <v>158</v>
      </c>
      <c r="C41" s="20" t="s">
        <v>43</v>
      </c>
      <c r="D41" s="20" t="s">
        <v>277</v>
      </c>
      <c r="E41" s="20" t="s">
        <v>279</v>
      </c>
      <c r="F41" s="20" t="n">
        <v>2</v>
      </c>
      <c r="G41" s="21" t="n">
        <v>100</v>
      </c>
      <c r="W41" s="22"/>
      <c r="X41" s="22"/>
      <c r="Y41" s="22"/>
    </row>
    <row r="42" customFormat="false" ht="27" hidden="false" customHeight="true" outlineLevel="0" collapsed="false">
      <c r="A42" s="20" t="s">
        <v>162</v>
      </c>
      <c r="B42" s="23" t="s">
        <v>163</v>
      </c>
      <c r="C42" s="20" t="s">
        <v>43</v>
      </c>
      <c r="D42" s="20" t="s">
        <v>279</v>
      </c>
      <c r="E42" s="20" t="s">
        <v>280</v>
      </c>
      <c r="F42" s="20" t="n">
        <v>2</v>
      </c>
      <c r="G42" s="21" t="n">
        <v>100</v>
      </c>
      <c r="Y42" s="24"/>
      <c r="Z42" s="24"/>
      <c r="AA42" s="24"/>
    </row>
    <row r="43" customFormat="false" ht="27" hidden="false" customHeight="true" outlineLevel="0" collapsed="false">
      <c r="A43" s="18" t="s">
        <v>167</v>
      </c>
      <c r="B43" s="19" t="s">
        <v>168</v>
      </c>
      <c r="C43" s="20" t="s">
        <v>43</v>
      </c>
      <c r="D43" s="20" t="s">
        <v>279</v>
      </c>
      <c r="E43" s="20" t="s">
        <v>281</v>
      </c>
      <c r="F43" s="20" t="n">
        <v>3</v>
      </c>
      <c r="G43" s="21" t="n">
        <v>100</v>
      </c>
      <c r="Y43" s="22"/>
      <c r="Z43" s="22"/>
      <c r="AA43" s="22"/>
      <c r="AB43" s="22"/>
    </row>
    <row r="44" customFormat="false" ht="15" hidden="false" customHeight="true" outlineLevel="0" collapsed="false">
      <c r="A44" s="17" t="s">
        <v>172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</row>
    <row r="45" customFormat="false" ht="27" hidden="false" customHeight="true" outlineLevel="0" collapsed="false">
      <c r="A45" s="20" t="s">
        <v>173</v>
      </c>
      <c r="B45" s="23" t="s">
        <v>174</v>
      </c>
      <c r="C45" s="20" t="s">
        <v>95</v>
      </c>
      <c r="D45" s="20" t="s">
        <v>276</v>
      </c>
      <c r="E45" s="20" t="s">
        <v>277</v>
      </c>
      <c r="F45" s="20" t="n">
        <v>2</v>
      </c>
      <c r="G45" s="21" t="n">
        <v>100</v>
      </c>
      <c r="U45" s="24"/>
      <c r="V45" s="24"/>
      <c r="W45" s="24"/>
    </row>
    <row r="46" customFormat="false" ht="27" hidden="false" customHeight="true" outlineLevel="0" collapsed="false">
      <c r="A46" s="18" t="s">
        <v>178</v>
      </c>
      <c r="B46" s="19" t="s">
        <v>179</v>
      </c>
      <c r="C46" s="20" t="s">
        <v>43</v>
      </c>
      <c r="D46" s="20" t="s">
        <v>281</v>
      </c>
      <c r="E46" s="20" t="s">
        <v>282</v>
      </c>
      <c r="F46" s="20" t="n">
        <v>1</v>
      </c>
      <c r="G46" s="21" t="n">
        <v>100</v>
      </c>
      <c r="AB46" s="22"/>
      <c r="AC46" s="22"/>
    </row>
    <row r="47" customFormat="false" ht="27" hidden="false" customHeight="true" outlineLevel="0" collapsed="false">
      <c r="A47" s="20" t="s">
        <v>184</v>
      </c>
      <c r="B47" s="23" t="s">
        <v>185</v>
      </c>
      <c r="C47" s="20" t="s">
        <v>95</v>
      </c>
      <c r="D47" s="20" t="s">
        <v>277</v>
      </c>
      <c r="E47" s="20" t="s">
        <v>279</v>
      </c>
      <c r="F47" s="20" t="n">
        <v>2</v>
      </c>
      <c r="G47" s="21" t="n">
        <v>100</v>
      </c>
      <c r="W47" s="24"/>
      <c r="X47" s="24"/>
      <c r="Y47" s="24"/>
    </row>
    <row r="48" customFormat="false" ht="27" hidden="false" customHeight="true" outlineLevel="0" collapsed="false">
      <c r="A48" s="20" t="s">
        <v>190</v>
      </c>
      <c r="B48" s="23" t="s">
        <v>191</v>
      </c>
      <c r="C48" s="20" t="s">
        <v>89</v>
      </c>
      <c r="D48" s="20" t="s">
        <v>277</v>
      </c>
      <c r="E48" s="20" t="s">
        <v>278</v>
      </c>
      <c r="F48" s="20" t="n">
        <v>1</v>
      </c>
      <c r="G48" s="21" t="n">
        <v>100</v>
      </c>
      <c r="W48" s="24"/>
      <c r="X48" s="24"/>
    </row>
    <row r="49" customFormat="false" ht="27" hidden="false" customHeight="true" outlineLevel="0" collapsed="false">
      <c r="A49" s="18" t="s">
        <v>195</v>
      </c>
      <c r="B49" s="19" t="s">
        <v>196</v>
      </c>
      <c r="C49" s="20" t="s">
        <v>200</v>
      </c>
      <c r="D49" s="20" t="s">
        <v>282</v>
      </c>
      <c r="E49" s="20" t="s">
        <v>283</v>
      </c>
      <c r="F49" s="20" t="n">
        <v>2</v>
      </c>
      <c r="G49" s="21" t="n">
        <v>100</v>
      </c>
      <c r="AC49" s="22"/>
      <c r="AD49" s="22"/>
      <c r="AE49" s="22"/>
    </row>
    <row r="50" customFormat="false" ht="15" hidden="false" customHeight="true" outlineLevel="0" collapsed="false">
      <c r="A50" s="17" t="s">
        <v>201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</row>
    <row r="51" customFormat="false" ht="27" hidden="false" customHeight="true" outlineLevel="0" collapsed="false">
      <c r="A51" s="18" t="s">
        <v>202</v>
      </c>
      <c r="B51" s="19" t="s">
        <v>203</v>
      </c>
      <c r="C51" s="20" t="s">
        <v>95</v>
      </c>
      <c r="D51" s="20" t="s">
        <v>283</v>
      </c>
      <c r="E51" s="20" t="s">
        <v>284</v>
      </c>
      <c r="F51" s="20" t="n">
        <v>1</v>
      </c>
      <c r="G51" s="21" t="n">
        <v>100</v>
      </c>
      <c r="AE51" s="22"/>
      <c r="AF51" s="22"/>
    </row>
    <row r="52" customFormat="false" ht="27" hidden="false" customHeight="true" outlineLevel="0" collapsed="false">
      <c r="A52" s="18" t="s">
        <v>207</v>
      </c>
      <c r="B52" s="19" t="s">
        <v>208</v>
      </c>
      <c r="C52" s="20" t="s">
        <v>200</v>
      </c>
      <c r="D52" s="20" t="s">
        <v>284</v>
      </c>
      <c r="E52" s="20" t="s">
        <v>285</v>
      </c>
      <c r="F52" s="20" t="n">
        <v>2</v>
      </c>
      <c r="G52" s="21" t="n">
        <v>100</v>
      </c>
      <c r="AF52" s="22"/>
      <c r="AG52" s="22"/>
      <c r="AH52" s="22"/>
    </row>
    <row r="53" customFormat="false" ht="27" hidden="false" customHeight="true" outlineLevel="0" collapsed="false">
      <c r="A53" s="18" t="s">
        <v>212</v>
      </c>
      <c r="B53" s="19" t="s">
        <v>213</v>
      </c>
      <c r="C53" s="20" t="s">
        <v>200</v>
      </c>
      <c r="D53" s="20" t="s">
        <v>285</v>
      </c>
      <c r="E53" s="20" t="s">
        <v>286</v>
      </c>
      <c r="F53" s="20" t="n">
        <v>1</v>
      </c>
      <c r="G53" s="21" t="n">
        <v>100</v>
      </c>
      <c r="AH53" s="22"/>
      <c r="AI53" s="22"/>
    </row>
    <row r="54" customFormat="false" ht="27" hidden="false" customHeight="true" outlineLevel="0" collapsed="false">
      <c r="A54" s="18" t="s">
        <v>217</v>
      </c>
      <c r="B54" s="19" t="s">
        <v>218</v>
      </c>
      <c r="C54" s="20" t="s">
        <v>200</v>
      </c>
      <c r="D54" s="20" t="s">
        <v>285</v>
      </c>
      <c r="E54" s="20" t="s">
        <v>286</v>
      </c>
      <c r="F54" s="20" t="n">
        <v>1</v>
      </c>
      <c r="G54" s="21" t="n">
        <v>100</v>
      </c>
      <c r="AH54" s="22"/>
      <c r="AI54" s="22"/>
    </row>
    <row r="55" customFormat="false" ht="27" hidden="false" customHeight="true" outlineLevel="0" collapsed="false">
      <c r="A55" s="18" t="s">
        <v>221</v>
      </c>
      <c r="B55" s="19" t="s">
        <v>222</v>
      </c>
      <c r="C55" s="20" t="s">
        <v>200</v>
      </c>
      <c r="D55" s="20" t="s">
        <v>286</v>
      </c>
      <c r="E55" s="20" t="s">
        <v>287</v>
      </c>
      <c r="F55" s="20" t="n">
        <v>2</v>
      </c>
      <c r="G55" s="21" t="n">
        <v>100</v>
      </c>
      <c r="AI55" s="22"/>
      <c r="AJ55" s="22"/>
      <c r="AK55" s="22"/>
    </row>
    <row r="56" customFormat="false" ht="27" hidden="false" customHeight="true" outlineLevel="0" collapsed="false">
      <c r="A56" s="18" t="s">
        <v>226</v>
      </c>
      <c r="B56" s="19" t="s">
        <v>227</v>
      </c>
      <c r="C56" s="20" t="s">
        <v>200</v>
      </c>
      <c r="D56" s="20" t="s">
        <v>287</v>
      </c>
      <c r="E56" s="20" t="s">
        <v>288</v>
      </c>
      <c r="F56" s="20" t="n">
        <v>2</v>
      </c>
      <c r="G56" s="21" t="n">
        <v>100</v>
      </c>
      <c r="AK56" s="22"/>
      <c r="AL56" s="22"/>
      <c r="AM56" s="22"/>
    </row>
    <row r="57" customFormat="false" ht="27" hidden="false" customHeight="true" outlineLevel="0" collapsed="false">
      <c r="A57" s="18" t="s">
        <v>231</v>
      </c>
      <c r="B57" s="19" t="s">
        <v>232</v>
      </c>
      <c r="C57" s="20" t="s">
        <v>200</v>
      </c>
      <c r="D57" s="20" t="s">
        <v>289</v>
      </c>
      <c r="E57" s="20" t="s">
        <v>290</v>
      </c>
      <c r="F57" s="20" t="n">
        <v>1</v>
      </c>
      <c r="G57" s="21" t="n">
        <v>100</v>
      </c>
      <c r="AQ57" s="22"/>
      <c r="AR57" s="22"/>
    </row>
    <row r="58" customFormat="false" ht="27" hidden="false" customHeight="true" outlineLevel="0" collapsed="false">
      <c r="A58" s="18" t="s">
        <v>236</v>
      </c>
      <c r="B58" s="19" t="s">
        <v>237</v>
      </c>
      <c r="C58" s="20" t="s">
        <v>20</v>
      </c>
      <c r="D58" s="20" t="s">
        <v>291</v>
      </c>
      <c r="E58" s="20" t="s">
        <v>292</v>
      </c>
      <c r="F58" s="20" t="n">
        <v>1</v>
      </c>
      <c r="G58" s="21" t="n">
        <v>100</v>
      </c>
      <c r="AS58" s="22"/>
      <c r="AT58" s="22"/>
    </row>
    <row r="60" customFormat="false" ht="15" hidden="false" customHeight="false" outlineLevel="0" collapsed="false">
      <c r="A60" s="13" t="s">
        <v>293</v>
      </c>
      <c r="B60" s="25" t="s">
        <v>294</v>
      </c>
      <c r="C60" s="25"/>
      <c r="D60" s="26" t="s">
        <v>295</v>
      </c>
      <c r="E60" s="26"/>
      <c r="F60" s="26"/>
    </row>
    <row r="61" customFormat="false" ht="27.75" hidden="false" customHeight="true" outlineLevel="0" collapsed="false">
      <c r="A61" s="27" t="s">
        <v>296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</sheetData>
  <mergeCells count="26">
    <mergeCell ref="A1:AT1"/>
    <mergeCell ref="B2:G2"/>
    <mergeCell ref="B3:G3"/>
    <mergeCell ref="B4:G4"/>
    <mergeCell ref="B5:G5"/>
    <mergeCell ref="A7:A9"/>
    <mergeCell ref="B7:B9"/>
    <mergeCell ref="C7:C9"/>
    <mergeCell ref="D7:D9"/>
    <mergeCell ref="E7:E9"/>
    <mergeCell ref="F7:F9"/>
    <mergeCell ref="G7:G9"/>
    <mergeCell ref="H7:N7"/>
    <mergeCell ref="O7:U7"/>
    <mergeCell ref="V7:AB7"/>
    <mergeCell ref="AC7:AI7"/>
    <mergeCell ref="AJ7:AP7"/>
    <mergeCell ref="AQ7:AT7"/>
    <mergeCell ref="A10:AT10"/>
    <mergeCell ref="A16:AT16"/>
    <mergeCell ref="A28:AT28"/>
    <mergeCell ref="A44:AT44"/>
    <mergeCell ref="A50:AT50"/>
    <mergeCell ref="B60:C60"/>
    <mergeCell ref="D60:F60"/>
    <mergeCell ref="A61:AD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8" min="5" style="0" width="7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8" t="s">
        <v>298</v>
      </c>
      <c r="B2" s="28"/>
      <c r="C2" s="28"/>
      <c r="D2" s="28"/>
      <c r="E2" s="28"/>
      <c r="F2" s="28"/>
      <c r="G2" s="28"/>
      <c r="H2" s="28"/>
      <c r="I2" s="28"/>
      <c r="J2" s="28"/>
    </row>
    <row r="4" customFormat="false" ht="22.35" hidden="false" customHeight="false" outlineLevel="0" collapsed="false">
      <c r="A4" s="3" t="s">
        <v>3</v>
      </c>
      <c r="B4" s="3" t="s">
        <v>299</v>
      </c>
      <c r="C4" s="3" t="s">
        <v>300</v>
      </c>
      <c r="D4" s="3" t="s">
        <v>301</v>
      </c>
      <c r="E4" s="3" t="s">
        <v>302</v>
      </c>
      <c r="F4" s="3" t="s">
        <v>303</v>
      </c>
      <c r="G4" s="3" t="s">
        <v>304</v>
      </c>
      <c r="H4" s="3" t="s">
        <v>305</v>
      </c>
      <c r="I4" s="3" t="s">
        <v>306</v>
      </c>
      <c r="J4" s="3" t="s">
        <v>307</v>
      </c>
    </row>
    <row r="5" customFormat="false" ht="15" hidden="false" customHeight="false" outlineLevel="0" collapsed="false">
      <c r="A5" s="29" t="s">
        <v>14</v>
      </c>
      <c r="B5" s="30" t="s">
        <v>15</v>
      </c>
      <c r="C5" s="29" t="s">
        <v>308</v>
      </c>
      <c r="D5" s="29" t="n">
        <v>1</v>
      </c>
      <c r="E5" s="29" t="n">
        <v>0</v>
      </c>
      <c r="F5" s="29" t="n">
        <v>1</v>
      </c>
      <c r="G5" s="29" t="n">
        <v>0</v>
      </c>
      <c r="H5" s="29" t="n">
        <v>1</v>
      </c>
      <c r="I5" s="29" t="n">
        <v>0</v>
      </c>
      <c r="J5" s="29" t="s">
        <v>309</v>
      </c>
    </row>
    <row r="6" customFormat="false" ht="15" hidden="false" customHeight="false" outlineLevel="0" collapsed="false">
      <c r="A6" s="20" t="s">
        <v>22</v>
      </c>
      <c r="B6" s="31" t="s">
        <v>23</v>
      </c>
      <c r="C6" s="20" t="s">
        <v>14</v>
      </c>
      <c r="D6" s="20" t="n">
        <v>1</v>
      </c>
      <c r="E6" s="20" t="n">
        <v>1</v>
      </c>
      <c r="F6" s="20" t="n">
        <v>2</v>
      </c>
      <c r="G6" s="20" t="n">
        <v>27</v>
      </c>
      <c r="H6" s="20" t="n">
        <v>28</v>
      </c>
      <c r="I6" s="20" t="n">
        <v>26</v>
      </c>
      <c r="J6" s="20" t="s">
        <v>310</v>
      </c>
    </row>
    <row r="7" customFormat="false" ht="15" hidden="false" customHeight="false" outlineLevel="0" collapsed="false">
      <c r="A7" s="20" t="s">
        <v>27</v>
      </c>
      <c r="B7" s="31" t="s">
        <v>28</v>
      </c>
      <c r="C7" s="20" t="s">
        <v>22</v>
      </c>
      <c r="D7" s="20" t="n">
        <v>1</v>
      </c>
      <c r="E7" s="20" t="n">
        <v>2</v>
      </c>
      <c r="F7" s="20" t="n">
        <v>3</v>
      </c>
      <c r="G7" s="20" t="n">
        <v>28</v>
      </c>
      <c r="H7" s="20" t="n">
        <v>29</v>
      </c>
      <c r="I7" s="20" t="n">
        <v>26</v>
      </c>
      <c r="J7" s="20" t="s">
        <v>310</v>
      </c>
    </row>
    <row r="8" customFormat="false" ht="15" hidden="false" customHeight="false" outlineLevel="0" collapsed="false">
      <c r="A8" s="29" t="s">
        <v>31</v>
      </c>
      <c r="B8" s="30" t="s">
        <v>32</v>
      </c>
      <c r="C8" s="29" t="s">
        <v>14</v>
      </c>
      <c r="D8" s="29" t="n">
        <v>2</v>
      </c>
      <c r="E8" s="29" t="n">
        <v>1</v>
      </c>
      <c r="F8" s="29" t="n">
        <v>3</v>
      </c>
      <c r="G8" s="29" t="n">
        <v>1</v>
      </c>
      <c r="H8" s="29" t="n">
        <v>3</v>
      </c>
      <c r="I8" s="29" t="n">
        <v>0</v>
      </c>
      <c r="J8" s="29" t="s">
        <v>309</v>
      </c>
    </row>
    <row r="9" customFormat="false" ht="15" hidden="false" customHeight="false" outlineLevel="0" collapsed="false">
      <c r="A9" s="20" t="s">
        <v>38</v>
      </c>
      <c r="B9" s="31" t="s">
        <v>39</v>
      </c>
      <c r="C9" s="20" t="s">
        <v>14</v>
      </c>
      <c r="D9" s="20" t="n">
        <v>1</v>
      </c>
      <c r="E9" s="20" t="n">
        <v>1</v>
      </c>
      <c r="F9" s="20" t="n">
        <v>2</v>
      </c>
      <c r="G9" s="20" t="n">
        <v>4</v>
      </c>
      <c r="H9" s="20" t="n">
        <v>5</v>
      </c>
      <c r="I9" s="20" t="n">
        <v>3</v>
      </c>
      <c r="J9" s="20" t="s">
        <v>310</v>
      </c>
    </row>
    <row r="10" customFormat="false" ht="15" hidden="false" customHeight="false" outlineLevel="0" collapsed="false">
      <c r="A10" s="20" t="s">
        <v>46</v>
      </c>
      <c r="B10" s="31" t="s">
        <v>47</v>
      </c>
      <c r="C10" s="20" t="s">
        <v>27</v>
      </c>
      <c r="D10" s="20" t="n">
        <v>1</v>
      </c>
      <c r="E10" s="20" t="n">
        <v>3</v>
      </c>
      <c r="F10" s="20" t="n">
        <v>4</v>
      </c>
      <c r="G10" s="20" t="n">
        <v>29</v>
      </c>
      <c r="H10" s="20" t="n">
        <v>30</v>
      </c>
      <c r="I10" s="20" t="n">
        <v>26</v>
      </c>
      <c r="J10" s="20" t="s">
        <v>310</v>
      </c>
    </row>
    <row r="11" customFormat="false" ht="15" hidden="false" customHeight="false" outlineLevel="0" collapsed="false">
      <c r="A11" s="20" t="s">
        <v>51</v>
      </c>
      <c r="B11" s="31" t="s">
        <v>52</v>
      </c>
      <c r="C11" s="20" t="s">
        <v>46</v>
      </c>
      <c r="D11" s="20" t="n">
        <v>1</v>
      </c>
      <c r="E11" s="20" t="n">
        <v>4</v>
      </c>
      <c r="F11" s="20" t="n">
        <v>5</v>
      </c>
      <c r="G11" s="20" t="n">
        <v>30</v>
      </c>
      <c r="H11" s="20" t="n">
        <v>31</v>
      </c>
      <c r="I11" s="20" t="n">
        <v>26</v>
      </c>
      <c r="J11" s="20" t="s">
        <v>310</v>
      </c>
    </row>
    <row r="12" customFormat="false" ht="15" hidden="false" customHeight="false" outlineLevel="0" collapsed="false">
      <c r="A12" s="20" t="s">
        <v>55</v>
      </c>
      <c r="B12" s="31" t="s">
        <v>56</v>
      </c>
      <c r="C12" s="20" t="s">
        <v>51</v>
      </c>
      <c r="D12" s="20" t="n">
        <v>1</v>
      </c>
      <c r="E12" s="20" t="n">
        <v>5</v>
      </c>
      <c r="F12" s="20" t="n">
        <v>6</v>
      </c>
      <c r="G12" s="20" t="n">
        <v>31</v>
      </c>
      <c r="H12" s="20" t="n">
        <v>32</v>
      </c>
      <c r="I12" s="20" t="n">
        <v>26</v>
      </c>
      <c r="J12" s="20" t="s">
        <v>310</v>
      </c>
    </row>
    <row r="13" customFormat="false" ht="15" hidden="false" customHeight="false" outlineLevel="0" collapsed="false">
      <c r="A13" s="20" t="s">
        <v>59</v>
      </c>
      <c r="B13" s="31" t="s">
        <v>60</v>
      </c>
      <c r="C13" s="20" t="s">
        <v>51</v>
      </c>
      <c r="D13" s="20" t="n">
        <v>1</v>
      </c>
      <c r="E13" s="20" t="n">
        <v>5</v>
      </c>
      <c r="F13" s="20" t="n">
        <v>6</v>
      </c>
      <c r="G13" s="20" t="n">
        <v>31</v>
      </c>
      <c r="H13" s="20" t="n">
        <v>32</v>
      </c>
      <c r="I13" s="20" t="n">
        <v>26</v>
      </c>
      <c r="J13" s="20" t="s">
        <v>310</v>
      </c>
    </row>
    <row r="14" customFormat="false" ht="15" hidden="false" customHeight="false" outlineLevel="0" collapsed="false">
      <c r="A14" s="20" t="s">
        <v>63</v>
      </c>
      <c r="B14" s="31" t="s">
        <v>64</v>
      </c>
      <c r="C14" s="20" t="s">
        <v>46</v>
      </c>
      <c r="D14" s="20" t="n">
        <v>1</v>
      </c>
      <c r="E14" s="20" t="n">
        <v>4</v>
      </c>
      <c r="F14" s="20" t="n">
        <v>5</v>
      </c>
      <c r="G14" s="20" t="n">
        <v>31</v>
      </c>
      <c r="H14" s="20" t="n">
        <v>32</v>
      </c>
      <c r="I14" s="20" t="n">
        <v>27</v>
      </c>
      <c r="J14" s="20" t="s">
        <v>310</v>
      </c>
    </row>
    <row r="15" customFormat="false" ht="15" hidden="false" customHeight="false" outlineLevel="0" collapsed="false">
      <c r="A15" s="20" t="s">
        <v>67</v>
      </c>
      <c r="B15" s="31" t="s">
        <v>68</v>
      </c>
      <c r="C15" s="20" t="s">
        <v>46</v>
      </c>
      <c r="D15" s="20" t="n">
        <v>1</v>
      </c>
      <c r="E15" s="20" t="n">
        <v>4</v>
      </c>
      <c r="F15" s="20" t="n">
        <v>5</v>
      </c>
      <c r="G15" s="20" t="n">
        <v>31</v>
      </c>
      <c r="H15" s="20" t="n">
        <v>32</v>
      </c>
      <c r="I15" s="20" t="n">
        <v>27</v>
      </c>
      <c r="J15" s="20" t="s">
        <v>310</v>
      </c>
    </row>
    <row r="16" customFormat="false" ht="15" hidden="false" customHeight="false" outlineLevel="0" collapsed="false">
      <c r="A16" s="20" t="s">
        <v>71</v>
      </c>
      <c r="B16" s="31" t="s">
        <v>72</v>
      </c>
      <c r="C16" s="20" t="s">
        <v>46</v>
      </c>
      <c r="D16" s="20" t="n">
        <v>1</v>
      </c>
      <c r="E16" s="20" t="n">
        <v>4</v>
      </c>
      <c r="F16" s="20" t="n">
        <v>5</v>
      </c>
      <c r="G16" s="20" t="n">
        <v>31</v>
      </c>
      <c r="H16" s="20" t="n">
        <v>32</v>
      </c>
      <c r="I16" s="20" t="n">
        <v>27</v>
      </c>
      <c r="J16" s="20" t="s">
        <v>310</v>
      </c>
    </row>
    <row r="17" customFormat="false" ht="15" hidden="false" customHeight="false" outlineLevel="0" collapsed="false">
      <c r="A17" s="20" t="s">
        <v>75</v>
      </c>
      <c r="B17" s="31" t="s">
        <v>76</v>
      </c>
      <c r="C17" s="20" t="s">
        <v>46</v>
      </c>
      <c r="D17" s="20" t="n">
        <v>1</v>
      </c>
      <c r="E17" s="20" t="n">
        <v>4</v>
      </c>
      <c r="F17" s="20" t="n">
        <v>5</v>
      </c>
      <c r="G17" s="20" t="n">
        <v>31</v>
      </c>
      <c r="H17" s="20" t="n">
        <v>32</v>
      </c>
      <c r="I17" s="20" t="n">
        <v>27</v>
      </c>
      <c r="J17" s="20" t="s">
        <v>310</v>
      </c>
    </row>
    <row r="18" customFormat="false" ht="15" hidden="false" customHeight="false" outlineLevel="0" collapsed="false">
      <c r="A18" s="20" t="s">
        <v>79</v>
      </c>
      <c r="B18" s="31" t="s">
        <v>80</v>
      </c>
      <c r="C18" s="20" t="s">
        <v>311</v>
      </c>
      <c r="D18" s="20" t="n">
        <v>1</v>
      </c>
      <c r="E18" s="20" t="n">
        <v>6</v>
      </c>
      <c r="F18" s="20" t="n">
        <v>7</v>
      </c>
      <c r="G18" s="20" t="n">
        <v>32</v>
      </c>
      <c r="H18" s="20" t="n">
        <v>33</v>
      </c>
      <c r="I18" s="20" t="n">
        <v>26</v>
      </c>
      <c r="J18" s="20" t="s">
        <v>310</v>
      </c>
    </row>
    <row r="19" customFormat="false" ht="15" hidden="false" customHeight="false" outlineLevel="0" collapsed="false">
      <c r="A19" s="29" t="s">
        <v>83</v>
      </c>
      <c r="B19" s="30" t="s">
        <v>84</v>
      </c>
      <c r="C19" s="29" t="s">
        <v>31</v>
      </c>
      <c r="D19" s="29" t="n">
        <v>3</v>
      </c>
      <c r="E19" s="29" t="n">
        <v>3</v>
      </c>
      <c r="F19" s="29" t="n">
        <v>6</v>
      </c>
      <c r="G19" s="29" t="n">
        <v>3</v>
      </c>
      <c r="H19" s="29" t="n">
        <v>6</v>
      </c>
      <c r="I19" s="29" t="n">
        <v>0</v>
      </c>
      <c r="J19" s="29" t="s">
        <v>309</v>
      </c>
    </row>
    <row r="20" customFormat="false" ht="15" hidden="false" customHeight="false" outlineLevel="0" collapsed="false">
      <c r="A20" s="20" t="s">
        <v>90</v>
      </c>
      <c r="B20" s="31" t="s">
        <v>91</v>
      </c>
      <c r="C20" s="20" t="s">
        <v>312</v>
      </c>
      <c r="D20" s="20" t="n">
        <v>2</v>
      </c>
      <c r="E20" s="20" t="n">
        <v>3</v>
      </c>
      <c r="F20" s="20" t="n">
        <v>5</v>
      </c>
      <c r="G20" s="20" t="n">
        <v>5</v>
      </c>
      <c r="H20" s="20" t="n">
        <v>7</v>
      </c>
      <c r="I20" s="20" t="n">
        <v>2</v>
      </c>
      <c r="J20" s="20" t="s">
        <v>310</v>
      </c>
    </row>
    <row r="21" customFormat="false" ht="15" hidden="false" customHeight="false" outlineLevel="0" collapsed="false">
      <c r="A21" s="29" t="s">
        <v>97</v>
      </c>
      <c r="B21" s="30" t="s">
        <v>98</v>
      </c>
      <c r="C21" s="29" t="s">
        <v>83</v>
      </c>
      <c r="D21" s="29" t="n">
        <v>4</v>
      </c>
      <c r="E21" s="29" t="n">
        <v>6</v>
      </c>
      <c r="F21" s="29" t="n">
        <v>10</v>
      </c>
      <c r="G21" s="29" t="n">
        <v>6</v>
      </c>
      <c r="H21" s="29" t="n">
        <v>10</v>
      </c>
      <c r="I21" s="29" t="n">
        <v>0</v>
      </c>
      <c r="J21" s="29" t="s">
        <v>309</v>
      </c>
    </row>
    <row r="22" customFormat="false" ht="15" hidden="false" customHeight="false" outlineLevel="0" collapsed="false">
      <c r="A22" s="20" t="s">
        <v>103</v>
      </c>
      <c r="B22" s="31" t="s">
        <v>104</v>
      </c>
      <c r="C22" s="20" t="s">
        <v>90</v>
      </c>
      <c r="D22" s="20" t="n">
        <v>3</v>
      </c>
      <c r="E22" s="20" t="n">
        <v>5</v>
      </c>
      <c r="F22" s="20" t="n">
        <v>8</v>
      </c>
      <c r="G22" s="20" t="n">
        <v>7</v>
      </c>
      <c r="H22" s="20" t="n">
        <v>10</v>
      </c>
      <c r="I22" s="20" t="n">
        <v>2</v>
      </c>
      <c r="J22" s="20" t="s">
        <v>310</v>
      </c>
    </row>
    <row r="23" customFormat="false" ht="15" hidden="false" customHeight="false" outlineLevel="0" collapsed="false">
      <c r="A23" s="29" t="s">
        <v>108</v>
      </c>
      <c r="B23" s="30" t="s">
        <v>109</v>
      </c>
      <c r="C23" s="29" t="s">
        <v>313</v>
      </c>
      <c r="D23" s="29" t="n">
        <v>3</v>
      </c>
      <c r="E23" s="29" t="n">
        <v>10</v>
      </c>
      <c r="F23" s="29" t="n">
        <v>13</v>
      </c>
      <c r="G23" s="29" t="n">
        <v>10</v>
      </c>
      <c r="H23" s="29" t="n">
        <v>13</v>
      </c>
      <c r="I23" s="29" t="n">
        <v>0</v>
      </c>
      <c r="J23" s="29" t="s">
        <v>309</v>
      </c>
    </row>
    <row r="24" customFormat="false" ht="15" hidden="false" customHeight="false" outlineLevel="0" collapsed="false">
      <c r="A24" s="20" t="s">
        <v>113</v>
      </c>
      <c r="B24" s="31" t="s">
        <v>114</v>
      </c>
      <c r="C24" s="20" t="s">
        <v>97</v>
      </c>
      <c r="D24" s="20" t="n">
        <v>3</v>
      </c>
      <c r="E24" s="20" t="n">
        <v>10</v>
      </c>
      <c r="F24" s="20" t="n">
        <v>13</v>
      </c>
      <c r="G24" s="20" t="n">
        <v>11</v>
      </c>
      <c r="H24" s="20" t="n">
        <v>14</v>
      </c>
      <c r="I24" s="20" t="n">
        <v>1</v>
      </c>
      <c r="J24" s="20" t="s">
        <v>310</v>
      </c>
    </row>
    <row r="25" customFormat="false" ht="15" hidden="false" customHeight="false" outlineLevel="0" collapsed="false">
      <c r="A25" s="29" t="s">
        <v>118</v>
      </c>
      <c r="B25" s="30" t="s">
        <v>119</v>
      </c>
      <c r="C25" s="29" t="s">
        <v>108</v>
      </c>
      <c r="D25" s="29" t="n">
        <v>2</v>
      </c>
      <c r="E25" s="29" t="n">
        <v>13</v>
      </c>
      <c r="F25" s="29" t="n">
        <v>15</v>
      </c>
      <c r="G25" s="29" t="n">
        <v>13</v>
      </c>
      <c r="H25" s="29" t="n">
        <v>15</v>
      </c>
      <c r="I25" s="29" t="n">
        <v>0</v>
      </c>
      <c r="J25" s="29" t="s">
        <v>309</v>
      </c>
    </row>
    <row r="26" customFormat="false" ht="15" hidden="false" customHeight="false" outlineLevel="0" collapsed="false">
      <c r="A26" s="20" t="s">
        <v>123</v>
      </c>
      <c r="B26" s="31" t="s">
        <v>124</v>
      </c>
      <c r="C26" s="20" t="s">
        <v>103</v>
      </c>
      <c r="D26" s="20" t="n">
        <v>2</v>
      </c>
      <c r="E26" s="20" t="n">
        <v>8</v>
      </c>
      <c r="F26" s="20" t="n">
        <v>10</v>
      </c>
      <c r="G26" s="20" t="n">
        <v>10</v>
      </c>
      <c r="H26" s="20" t="n">
        <v>12</v>
      </c>
      <c r="I26" s="20" t="n">
        <v>2</v>
      </c>
      <c r="J26" s="20" t="s">
        <v>310</v>
      </c>
    </row>
    <row r="27" customFormat="false" ht="15" hidden="false" customHeight="false" outlineLevel="0" collapsed="false">
      <c r="A27" s="20" t="s">
        <v>128</v>
      </c>
      <c r="B27" s="31" t="s">
        <v>129</v>
      </c>
      <c r="C27" s="20" t="s">
        <v>103</v>
      </c>
      <c r="D27" s="20" t="n">
        <v>2</v>
      </c>
      <c r="E27" s="20" t="n">
        <v>8</v>
      </c>
      <c r="F27" s="20" t="n">
        <v>10</v>
      </c>
      <c r="G27" s="20" t="n">
        <v>13</v>
      </c>
      <c r="H27" s="20" t="n">
        <v>15</v>
      </c>
      <c r="I27" s="20" t="n">
        <v>5</v>
      </c>
      <c r="J27" s="20" t="s">
        <v>310</v>
      </c>
    </row>
    <row r="28" customFormat="false" ht="15" hidden="false" customHeight="false" outlineLevel="0" collapsed="false">
      <c r="A28" s="20" t="s">
        <v>132</v>
      </c>
      <c r="B28" s="31" t="s">
        <v>133</v>
      </c>
      <c r="C28" s="20" t="s">
        <v>90</v>
      </c>
      <c r="D28" s="20" t="n">
        <v>2</v>
      </c>
      <c r="E28" s="20" t="n">
        <v>5</v>
      </c>
      <c r="F28" s="20" t="n">
        <v>7</v>
      </c>
      <c r="G28" s="20" t="n">
        <v>15</v>
      </c>
      <c r="H28" s="20" t="n">
        <v>17</v>
      </c>
      <c r="I28" s="20" t="n">
        <v>10</v>
      </c>
      <c r="J28" s="20" t="s">
        <v>310</v>
      </c>
    </row>
    <row r="29" customFormat="false" ht="15" hidden="false" customHeight="false" outlineLevel="0" collapsed="false">
      <c r="A29" s="20" t="s">
        <v>137</v>
      </c>
      <c r="B29" s="31" t="s">
        <v>138</v>
      </c>
      <c r="C29" s="20" t="s">
        <v>38</v>
      </c>
      <c r="D29" s="20" t="n">
        <v>2</v>
      </c>
      <c r="E29" s="20" t="n">
        <v>2</v>
      </c>
      <c r="F29" s="20" t="n">
        <v>4</v>
      </c>
      <c r="G29" s="20" t="n">
        <v>8</v>
      </c>
      <c r="H29" s="20" t="n">
        <v>10</v>
      </c>
      <c r="I29" s="20" t="n">
        <v>6</v>
      </c>
      <c r="J29" s="20" t="s">
        <v>310</v>
      </c>
    </row>
    <row r="30" customFormat="false" ht="15" hidden="false" customHeight="false" outlineLevel="0" collapsed="false">
      <c r="A30" s="20" t="s">
        <v>142</v>
      </c>
      <c r="B30" s="31" t="s">
        <v>143</v>
      </c>
      <c r="C30" s="20" t="s">
        <v>314</v>
      </c>
      <c r="D30" s="20" t="n">
        <v>2</v>
      </c>
      <c r="E30" s="20" t="n">
        <v>8</v>
      </c>
      <c r="F30" s="20" t="n">
        <v>10</v>
      </c>
      <c r="G30" s="20" t="n">
        <v>10</v>
      </c>
      <c r="H30" s="20" t="n">
        <v>12</v>
      </c>
      <c r="I30" s="20" t="n">
        <v>2</v>
      </c>
      <c r="J30" s="20" t="s">
        <v>310</v>
      </c>
    </row>
    <row r="31" customFormat="false" ht="15" hidden="false" customHeight="false" outlineLevel="0" collapsed="false">
      <c r="A31" s="20" t="s">
        <v>147</v>
      </c>
      <c r="B31" s="31" t="s">
        <v>148</v>
      </c>
      <c r="C31" s="20" t="s">
        <v>315</v>
      </c>
      <c r="D31" s="20" t="n">
        <v>3</v>
      </c>
      <c r="E31" s="20" t="n">
        <v>10</v>
      </c>
      <c r="F31" s="20" t="n">
        <v>13</v>
      </c>
      <c r="G31" s="20" t="n">
        <v>12</v>
      </c>
      <c r="H31" s="20" t="n">
        <v>15</v>
      </c>
      <c r="I31" s="20" t="n">
        <v>2</v>
      </c>
      <c r="J31" s="20" t="s">
        <v>310</v>
      </c>
    </row>
    <row r="32" customFormat="false" ht="15" hidden="false" customHeight="false" outlineLevel="0" collapsed="false">
      <c r="A32" s="20" t="s">
        <v>152</v>
      </c>
      <c r="B32" s="31" t="s">
        <v>153</v>
      </c>
      <c r="C32" s="20" t="s">
        <v>316</v>
      </c>
      <c r="D32" s="20" t="n">
        <v>3</v>
      </c>
      <c r="E32" s="20" t="n">
        <v>13</v>
      </c>
      <c r="F32" s="20" t="n">
        <v>16</v>
      </c>
      <c r="G32" s="20" t="n">
        <v>14</v>
      </c>
      <c r="H32" s="20" t="n">
        <v>17</v>
      </c>
      <c r="I32" s="20" t="n">
        <v>1</v>
      </c>
      <c r="J32" s="20" t="s">
        <v>310</v>
      </c>
    </row>
    <row r="33" customFormat="false" ht="15" hidden="false" customHeight="false" outlineLevel="0" collapsed="false">
      <c r="A33" s="29" t="s">
        <v>157</v>
      </c>
      <c r="B33" s="30" t="s">
        <v>158</v>
      </c>
      <c r="C33" s="29" t="s">
        <v>317</v>
      </c>
      <c r="D33" s="29" t="n">
        <v>2</v>
      </c>
      <c r="E33" s="29" t="n">
        <v>15</v>
      </c>
      <c r="F33" s="29" t="n">
        <v>17</v>
      </c>
      <c r="G33" s="29" t="n">
        <v>15</v>
      </c>
      <c r="H33" s="29" t="n">
        <v>17</v>
      </c>
      <c r="I33" s="29" t="n">
        <v>0</v>
      </c>
      <c r="J33" s="29" t="s">
        <v>309</v>
      </c>
    </row>
    <row r="34" customFormat="false" ht="15" hidden="false" customHeight="false" outlineLevel="0" collapsed="false">
      <c r="A34" s="20" t="s">
        <v>162</v>
      </c>
      <c r="B34" s="31" t="s">
        <v>163</v>
      </c>
      <c r="C34" s="20" t="s">
        <v>157</v>
      </c>
      <c r="D34" s="20" t="n">
        <v>2</v>
      </c>
      <c r="E34" s="20" t="n">
        <v>17</v>
      </c>
      <c r="F34" s="20" t="n">
        <v>19</v>
      </c>
      <c r="G34" s="20" t="n">
        <v>31</v>
      </c>
      <c r="H34" s="20" t="n">
        <v>33</v>
      </c>
      <c r="I34" s="20" t="n">
        <v>14</v>
      </c>
      <c r="J34" s="20" t="s">
        <v>310</v>
      </c>
    </row>
    <row r="35" customFormat="false" ht="15" hidden="false" customHeight="false" outlineLevel="0" collapsed="false">
      <c r="A35" s="29" t="s">
        <v>167</v>
      </c>
      <c r="B35" s="30" t="s">
        <v>168</v>
      </c>
      <c r="C35" s="29" t="s">
        <v>318</v>
      </c>
      <c r="D35" s="29" t="n">
        <v>3</v>
      </c>
      <c r="E35" s="29" t="n">
        <v>17</v>
      </c>
      <c r="F35" s="29" t="n">
        <v>20</v>
      </c>
      <c r="G35" s="29" t="n">
        <v>17</v>
      </c>
      <c r="H35" s="29" t="n">
        <v>20</v>
      </c>
      <c r="I35" s="29" t="n">
        <v>0</v>
      </c>
      <c r="J35" s="29" t="s">
        <v>309</v>
      </c>
    </row>
    <row r="36" customFormat="false" ht="15" hidden="false" customHeight="false" outlineLevel="0" collapsed="false">
      <c r="A36" s="20" t="s">
        <v>173</v>
      </c>
      <c r="B36" s="31" t="s">
        <v>174</v>
      </c>
      <c r="C36" s="20" t="s">
        <v>319</v>
      </c>
      <c r="D36" s="20" t="n">
        <v>2</v>
      </c>
      <c r="E36" s="20" t="n">
        <v>13</v>
      </c>
      <c r="F36" s="20" t="n">
        <v>15</v>
      </c>
      <c r="G36" s="20" t="n">
        <v>17</v>
      </c>
      <c r="H36" s="20" t="n">
        <v>19</v>
      </c>
      <c r="I36" s="20" t="n">
        <v>4</v>
      </c>
      <c r="J36" s="20" t="s">
        <v>310</v>
      </c>
    </row>
    <row r="37" customFormat="false" ht="15" hidden="false" customHeight="false" outlineLevel="0" collapsed="false">
      <c r="A37" s="29" t="s">
        <v>178</v>
      </c>
      <c r="B37" s="30" t="s">
        <v>179</v>
      </c>
      <c r="C37" s="29" t="s">
        <v>167</v>
      </c>
      <c r="D37" s="29" t="n">
        <v>1</v>
      </c>
      <c r="E37" s="29" t="n">
        <v>20</v>
      </c>
      <c r="F37" s="29" t="n">
        <v>21</v>
      </c>
      <c r="G37" s="29" t="n">
        <v>20</v>
      </c>
      <c r="H37" s="29" t="n">
        <v>21</v>
      </c>
      <c r="I37" s="29" t="n">
        <v>0</v>
      </c>
      <c r="J37" s="29" t="s">
        <v>309</v>
      </c>
    </row>
    <row r="38" customFormat="false" ht="15" hidden="false" customHeight="false" outlineLevel="0" collapsed="false">
      <c r="A38" s="20" t="s">
        <v>184</v>
      </c>
      <c r="B38" s="31" t="s">
        <v>185</v>
      </c>
      <c r="C38" s="20" t="s">
        <v>173</v>
      </c>
      <c r="D38" s="20" t="n">
        <v>2</v>
      </c>
      <c r="E38" s="20" t="n">
        <v>15</v>
      </c>
      <c r="F38" s="20" t="n">
        <v>17</v>
      </c>
      <c r="G38" s="20" t="n">
        <v>19</v>
      </c>
      <c r="H38" s="20" t="n">
        <v>21</v>
      </c>
      <c r="I38" s="20" t="n">
        <v>4</v>
      </c>
      <c r="J38" s="20" t="s">
        <v>310</v>
      </c>
    </row>
    <row r="39" customFormat="false" ht="15" hidden="false" customHeight="false" outlineLevel="0" collapsed="false">
      <c r="A39" s="20" t="s">
        <v>190</v>
      </c>
      <c r="B39" s="31" t="s">
        <v>191</v>
      </c>
      <c r="C39" s="20" t="s">
        <v>173</v>
      </c>
      <c r="D39" s="20" t="n">
        <v>1</v>
      </c>
      <c r="E39" s="20" t="n">
        <v>15</v>
      </c>
      <c r="F39" s="20" t="n">
        <v>16</v>
      </c>
      <c r="G39" s="20" t="n">
        <v>20</v>
      </c>
      <c r="H39" s="20" t="n">
        <v>21</v>
      </c>
      <c r="I39" s="20" t="n">
        <v>5</v>
      </c>
      <c r="J39" s="20" t="s">
        <v>310</v>
      </c>
    </row>
    <row r="40" customFormat="false" ht="15" hidden="false" customHeight="false" outlineLevel="0" collapsed="false">
      <c r="A40" s="29" t="s">
        <v>195</v>
      </c>
      <c r="B40" s="30" t="s">
        <v>196</v>
      </c>
      <c r="C40" s="29" t="s">
        <v>320</v>
      </c>
      <c r="D40" s="29" t="n">
        <v>2</v>
      </c>
      <c r="E40" s="29" t="n">
        <v>21</v>
      </c>
      <c r="F40" s="29" t="n">
        <v>23</v>
      </c>
      <c r="G40" s="29" t="n">
        <v>21</v>
      </c>
      <c r="H40" s="29" t="n">
        <v>23</v>
      </c>
      <c r="I40" s="29" t="n">
        <v>0</v>
      </c>
      <c r="J40" s="29" t="s">
        <v>309</v>
      </c>
    </row>
    <row r="41" customFormat="false" ht="15" hidden="false" customHeight="false" outlineLevel="0" collapsed="false">
      <c r="A41" s="29" t="s">
        <v>202</v>
      </c>
      <c r="B41" s="30" t="s">
        <v>203</v>
      </c>
      <c r="C41" s="29" t="s">
        <v>195</v>
      </c>
      <c r="D41" s="29" t="n">
        <v>1</v>
      </c>
      <c r="E41" s="29" t="n">
        <v>23</v>
      </c>
      <c r="F41" s="29" t="n">
        <v>24</v>
      </c>
      <c r="G41" s="29" t="n">
        <v>23</v>
      </c>
      <c r="H41" s="29" t="n">
        <v>24</v>
      </c>
      <c r="I41" s="29" t="n">
        <v>0</v>
      </c>
      <c r="J41" s="29" t="s">
        <v>309</v>
      </c>
    </row>
    <row r="42" customFormat="false" ht="15" hidden="false" customHeight="false" outlineLevel="0" collapsed="false">
      <c r="A42" s="29" t="s">
        <v>207</v>
      </c>
      <c r="B42" s="30" t="s">
        <v>208</v>
      </c>
      <c r="C42" s="29" t="s">
        <v>202</v>
      </c>
      <c r="D42" s="29" t="n">
        <v>2</v>
      </c>
      <c r="E42" s="29" t="n">
        <v>24</v>
      </c>
      <c r="F42" s="29" t="n">
        <v>26</v>
      </c>
      <c r="G42" s="29" t="n">
        <v>24</v>
      </c>
      <c r="H42" s="29" t="n">
        <v>26</v>
      </c>
      <c r="I42" s="29" t="n">
        <v>0</v>
      </c>
      <c r="J42" s="29" t="s">
        <v>309</v>
      </c>
    </row>
    <row r="43" customFormat="false" ht="15" hidden="false" customHeight="false" outlineLevel="0" collapsed="false">
      <c r="A43" s="29" t="s">
        <v>212</v>
      </c>
      <c r="B43" s="30" t="s">
        <v>213</v>
      </c>
      <c r="C43" s="29" t="s">
        <v>207</v>
      </c>
      <c r="D43" s="29" t="n">
        <v>1</v>
      </c>
      <c r="E43" s="29" t="n">
        <v>26</v>
      </c>
      <c r="F43" s="29" t="n">
        <v>27</v>
      </c>
      <c r="G43" s="29" t="n">
        <v>26</v>
      </c>
      <c r="H43" s="29" t="n">
        <v>27</v>
      </c>
      <c r="I43" s="29" t="n">
        <v>0</v>
      </c>
      <c r="J43" s="29" t="s">
        <v>309</v>
      </c>
    </row>
    <row r="44" customFormat="false" ht="15" hidden="false" customHeight="false" outlineLevel="0" collapsed="false">
      <c r="A44" s="29" t="s">
        <v>217</v>
      </c>
      <c r="B44" s="30" t="s">
        <v>218</v>
      </c>
      <c r="C44" s="29" t="s">
        <v>207</v>
      </c>
      <c r="D44" s="29" t="n">
        <v>1</v>
      </c>
      <c r="E44" s="29" t="n">
        <v>26</v>
      </c>
      <c r="F44" s="29" t="n">
        <v>27</v>
      </c>
      <c r="G44" s="29" t="n">
        <v>26</v>
      </c>
      <c r="H44" s="29" t="n">
        <v>27</v>
      </c>
      <c r="I44" s="29" t="n">
        <v>0</v>
      </c>
      <c r="J44" s="29" t="s">
        <v>309</v>
      </c>
    </row>
    <row r="45" customFormat="false" ht="15" hidden="false" customHeight="false" outlineLevel="0" collapsed="false">
      <c r="A45" s="29" t="s">
        <v>221</v>
      </c>
      <c r="B45" s="30" t="s">
        <v>222</v>
      </c>
      <c r="C45" s="29" t="s">
        <v>321</v>
      </c>
      <c r="D45" s="29" t="n">
        <v>2</v>
      </c>
      <c r="E45" s="29" t="n">
        <v>27</v>
      </c>
      <c r="F45" s="29" t="n">
        <v>29</v>
      </c>
      <c r="G45" s="29" t="n">
        <v>27</v>
      </c>
      <c r="H45" s="29" t="n">
        <v>29</v>
      </c>
      <c r="I45" s="29" t="n">
        <v>0</v>
      </c>
      <c r="J45" s="29" t="s">
        <v>309</v>
      </c>
    </row>
    <row r="46" customFormat="false" ht="15" hidden="false" customHeight="false" outlineLevel="0" collapsed="false">
      <c r="A46" s="29" t="s">
        <v>226</v>
      </c>
      <c r="B46" s="30" t="s">
        <v>227</v>
      </c>
      <c r="C46" s="29" t="s">
        <v>221</v>
      </c>
      <c r="D46" s="29" t="n">
        <v>2</v>
      </c>
      <c r="E46" s="29" t="n">
        <v>29</v>
      </c>
      <c r="F46" s="29" t="n">
        <v>31</v>
      </c>
      <c r="G46" s="29" t="n">
        <v>29</v>
      </c>
      <c r="H46" s="29" t="n">
        <v>31</v>
      </c>
      <c r="I46" s="29" t="n">
        <v>0</v>
      </c>
      <c r="J46" s="29" t="s">
        <v>309</v>
      </c>
    </row>
    <row r="47" customFormat="false" ht="15" hidden="false" customHeight="false" outlineLevel="0" collapsed="false">
      <c r="A47" s="29" t="s">
        <v>231</v>
      </c>
      <c r="B47" s="30" t="s">
        <v>232</v>
      </c>
      <c r="C47" s="29" t="s">
        <v>226</v>
      </c>
      <c r="D47" s="29" t="n">
        <v>1</v>
      </c>
      <c r="E47" s="29" t="n">
        <v>31</v>
      </c>
      <c r="F47" s="29" t="n">
        <v>32</v>
      </c>
      <c r="G47" s="29" t="n">
        <v>31</v>
      </c>
      <c r="H47" s="29" t="n">
        <v>32</v>
      </c>
      <c r="I47" s="29" t="n">
        <v>0</v>
      </c>
      <c r="J47" s="29" t="s">
        <v>309</v>
      </c>
    </row>
    <row r="48" customFormat="false" ht="15" hidden="false" customHeight="false" outlineLevel="0" collapsed="false">
      <c r="A48" s="29" t="s">
        <v>236</v>
      </c>
      <c r="B48" s="30" t="s">
        <v>237</v>
      </c>
      <c r="C48" s="29" t="s">
        <v>231</v>
      </c>
      <c r="D48" s="29" t="n">
        <v>1</v>
      </c>
      <c r="E48" s="29" t="n">
        <v>32</v>
      </c>
      <c r="F48" s="29" t="n">
        <v>33</v>
      </c>
      <c r="G48" s="29" t="n">
        <v>32</v>
      </c>
      <c r="H48" s="29" t="n">
        <v>33</v>
      </c>
      <c r="I48" s="29" t="n">
        <v>0</v>
      </c>
      <c r="J48" s="29" t="s">
        <v>309</v>
      </c>
    </row>
    <row r="50" customFormat="false" ht="15" hidden="false" customHeight="false" outlineLevel="0" collapsed="false">
      <c r="B50" s="13" t="s">
        <v>322</v>
      </c>
      <c r="D50" s="13" t="n">
        <f aca="false">COUNTA(A5:A48)</f>
        <v>44</v>
      </c>
      <c r="I50" s="32" t="n">
        <f aca="false">AVERAGE(I5:I48)</f>
        <v>8.02272727272727</v>
      </c>
    </row>
    <row r="52" customFormat="false" ht="15" hidden="false" customHeight="false" outlineLevel="0" collapsed="false">
      <c r="A52" s="13" t="s">
        <v>323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2026-08-20T18:26:59Z</dcterms:created>
  <dc:creator>openpyxl</dc:creator>
  <dc:description/>
  <dc:language>en-US</dc:language>
  <cp:lastModifiedBy/>
  <dcterms:modified xsi:type="dcterms:W3CDTF">2026-08-20T18:27:01Z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